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Paras Bansal\Desktop\Excel Project\"/>
    </mc:Choice>
  </mc:AlternateContent>
  <xr:revisionPtr revIDLastSave="0" documentId="13_ncr:1_{F613D7ED-61A9-436A-A571-0B9E1B1BAF19}" xr6:coauthVersionLast="47" xr6:coauthVersionMax="47" xr10:uidLastSave="{00000000-0000-0000-0000-000000000000}"/>
  <bookViews>
    <workbookView xWindow="-108" yWindow="-108" windowWidth="23256" windowHeight="12456" xr2:uid="{004A08F9-DC87-49C3-B588-5CFC62E91B5F}"/>
  </bookViews>
  <sheets>
    <sheet name="Pivot Report" sheetId="1" r:id="rId1"/>
    <sheet name="Dashboard" sheetId="2" r:id="rId2"/>
    <sheet name="Daily ER No. Of Patient" sheetId="3" r:id="rId3"/>
    <sheet name="Average wait time" sheetId="4" r:id="rId4"/>
    <sheet name="Patient Satisfaction Score" sheetId="5" r:id="rId5"/>
  </sheets>
  <definedNames>
    <definedName name="Slicer_Date__Month">#N/A</definedName>
    <definedName name="Slicer_Date__Year">#N/A</definedName>
  </definedNames>
  <calcPr calcId="191029"/>
  <pivotCaches>
    <pivotCache cacheId="2533" r:id="rId6"/>
    <pivotCache cacheId="2536" r:id="rId7"/>
    <pivotCache cacheId="2539" r:id="rId8"/>
    <pivotCache cacheId="2542" r:id="rId9"/>
    <pivotCache cacheId="2545" r:id="rId10"/>
    <pivotCache cacheId="2548" r:id="rId11"/>
    <pivotCache cacheId="2551" r:id="rId12"/>
    <pivotCache cacheId="2554" r:id="rId13"/>
    <pivotCache cacheId="2557" r:id="rId14"/>
    <pivotCache cacheId="2560" r:id="rId15"/>
    <pivotCache cacheId="2563" r:id="rId16"/>
    <pivotCache cacheId="2566" r:id="rId17"/>
  </pivotCaches>
  <extLst>
    <ext xmlns:x14="http://schemas.microsoft.com/office/spreadsheetml/2009/9/main" uri="{876F7934-8845-4945-9796-88D515C7AA90}">
      <x14:pivotCaches>
        <pivotCache cacheId="134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8925749-9fa5-4d7a-8946-97b2acf215fb" name="Hospital Emergency Room Data" connection="Query - Hospital Emergency Room Data"/>
          <x15:modelTable id="Calendar_Table_43f78582-7c12-40b6-a6ba-caf90bf9f1b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1" l="1"/>
  <c r="C71" i="1"/>
  <c r="B70" i="1"/>
  <c r="B71" i="1"/>
  <c r="A70" i="1"/>
  <c r="A7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0A5DDB-E53C-4F9D-B3B5-662D29352012}" name="Query - Calendar_Table" description="Connection to the 'Calendar_Table' query in the workbook." type="100" refreshedVersion="8" minRefreshableVersion="5">
    <extLst>
      <ext xmlns:x15="http://schemas.microsoft.com/office/spreadsheetml/2010/11/main" uri="{DE250136-89BD-433C-8126-D09CA5730AF9}">
        <x15:connection id="29d3234d-da98-41b3-8314-b3b636509f32"/>
      </ext>
    </extLst>
  </connection>
  <connection id="2" xr16:uid="{D9850CAC-4225-41F1-A0A1-8C1906996E5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f9e5bba-573c-4da7-b93e-43d0f1f4c7bb"/>
      </ext>
    </extLst>
  </connection>
  <connection id="3" xr16:uid="{D4B65B80-E84F-4D84-BA97-27687F601C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<sst xmlns="http://schemas.openxmlformats.org/spreadsheetml/2006/main" count="159" uniqueCount="78">
  <si>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Row Labels</t>
  </si>
  <si>
    <t>Grand Total</t>
  </si>
  <si>
    <t>Distinct Count of Patient Id</t>
  </si>
  <si>
    <t>Average of Patient Waittime</t>
  </si>
  <si>
    <t>Average of Patient Satisfaction Score</t>
  </si>
  <si>
    <t>No.of patient</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</si>
  <si>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</si>
  <si>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</si>
  <si>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</si>
  <si>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</si>
  <si>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</si>
  <si>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</si>
  <si>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</si>
  <si>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</si>
  <si>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</si>
  <si>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</si>
  <si>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</si>
  <si>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</si>
  <si>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</si>
  <si>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</si>
  <si>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</si>
  <si>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</si>
  <si>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</si>
  <si>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</si>
  <si>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</si>
  <si>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</si>
  <si>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</si>
  <si>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</si>
  <si>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</si>
  <si>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</si>
  <si>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</si>
  <si>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</si>
  <si>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</si>
  <si>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</si>
  <si>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</si>
  <si>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</si>
  <si>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</si>
  <si>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of no. of Patient</t>
  </si>
  <si>
    <t>Average wait time</t>
  </si>
  <si>
    <t>Average Patient satisfaction Score</t>
  </si>
  <si>
    <t>0-9</t>
  </si>
  <si>
    <t>10-19</t>
  </si>
  <si>
    <t>20-29</t>
  </si>
  <si>
    <t>30-39</t>
  </si>
  <si>
    <t>40-49</t>
  </si>
  <si>
    <t>50-59</t>
  </si>
  <si>
    <t>60-69</t>
  </si>
  <si>
    <t>70-79</t>
  </si>
  <si>
    <t>Count of Age Group</t>
  </si>
  <si>
    <t>Age Group-wise analysis</t>
  </si>
  <si>
    <t>Ontime</t>
  </si>
  <si>
    <t>Delay</t>
  </si>
  <si>
    <t>Count of Patient Attend Status</t>
  </si>
  <si>
    <t>Patient Attend Status</t>
  </si>
  <si>
    <t>Patient Gender</t>
  </si>
  <si>
    <t>Female</t>
  </si>
  <si>
    <t>Male</t>
  </si>
  <si>
    <t>Count of Patient Gender</t>
  </si>
  <si>
    <t>Cardiology</t>
  </si>
  <si>
    <t>Gastroenterology</t>
  </si>
  <si>
    <t>General Practice</t>
  </si>
  <si>
    <t>Neurology</t>
  </si>
  <si>
    <t>None</t>
  </si>
  <si>
    <t>Orthopedics</t>
  </si>
  <si>
    <t>Physiotherapy</t>
  </si>
  <si>
    <t>Renal</t>
  </si>
  <si>
    <t>Count of Department Referral</t>
  </si>
  <si>
    <t>Department Referral</t>
  </si>
  <si>
    <t>2024</t>
  </si>
  <si>
    <t>year slicer</t>
  </si>
  <si>
    <t>Count of Patient Admission Flag</t>
  </si>
  <si>
    <t>Admitted</t>
  </si>
  <si>
    <t>Not Admitted</t>
  </si>
  <si>
    <t>Count of Patient Admission Flag2</t>
  </si>
  <si>
    <t>Admission Status</t>
  </si>
  <si>
    <t>No. of Patient</t>
  </si>
  <si>
    <t>% Status</t>
  </si>
  <si>
    <t>Admission status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</si>
</sst>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11"/>
      <color theme="1" tint="0.499984740745262"/>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xf numFmtId="0" fontId="0" fillId="3" borderId="0" xfId="0" applyFill="1"/>
    <xf numFmtId="0" fontId="1" fillId="0" borderId="0" xfId="0" applyFont="1" applyFill="1" applyBorder="1"/>
    <xf numFmtId="0" fontId="0" fillId="0" borderId="0" xfId="0" applyBorder="1"/>
    <xf numFmtId="1" fontId="0" fillId="0" borderId="0" xfId="0" applyNumberFormat="1"/>
    <xf numFmtId="0" fontId="2" fillId="0" borderId="0" xfId="0" applyFont="1"/>
    <xf numFmtId="0" fontId="0" fillId="0" borderId="0" xfId="0" applyFont="1"/>
    <xf numFmtId="0" fontId="0" fillId="3" borderId="0" xfId="0" applyFont="1" applyFill="1"/>
    <xf numFmtId="10" fontId="0" fillId="0" borderId="0" xfId="0" applyNumberFormat="1"/>
    <xf numFmtId="0" fontId="0" fillId="4" borderId="0" xfId="0" applyFill="1"/>
    <xf numFmtId="0" fontId="0" fillId="4" borderId="0" xfId="0" applyFill="1" applyAlignment="1">
      <alignment horizontal="center" vertical="center"/>
    </xf>
    <xf numFmtId="0" fontId="0" fillId="5" borderId="0" xfId="0" applyFill="1" applyAlignment="1">
      <alignment horizontal="center" vertical="center"/>
    </xf>
    <xf numFmtId="1" fontId="0" fillId="5" borderId="0" xfId="0" applyNumberFormat="1" applyFill="1" applyAlignment="1">
      <alignment horizontal="center" vertical="center"/>
    </xf>
    <xf numFmtId="10" fontId="0" fillId="5" borderId="0" xfId="0" applyNumberFormat="1" applyFill="1" applyAlignment="1">
      <alignment horizontal="center" vertical="center"/>
    </xf>
    <xf numFmtId="0" fontId="0" fillId="5" borderId="0" xfId="0" applyFill="1"/>
    <xf numFmtId="0" fontId="0" fillId="0" borderId="0" xfId="0" applyFill="1" applyAlignment="1">
      <alignment horizontal="center" vertical="center"/>
    </xf>
    <xf numFmtId="0" fontId="0" fillId="0" borderId="0" xfId="0" applyFill="1"/>
    <xf numFmtId="1" fontId="0" fillId="0" borderId="0" xfId="0" applyNumberFormat="1" applyFill="1" applyAlignment="1">
      <alignment horizontal="center" vertical="center"/>
    </xf>
    <xf numFmtId="10" fontId="0" fillId="0" borderId="0" xfId="0" applyNumberFormat="1" applyFill="1" applyAlignment="1">
      <alignment horizontal="center" vertical="center"/>
    </xf>
  </cellXfs>
  <cellStyles count="1">
    <cellStyle name="Normal" xfId="0" builtinId="0"/>
  </cellStyles>
  <dxfs count="236">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6"/>
        <color theme="1"/>
      </font>
      <fill>
        <patternFill>
          <bgColor theme="0"/>
        </patternFill>
      </fill>
      <border diagonalUp="0" diagonalDown="0">
        <left/>
        <right/>
        <top/>
        <bottom/>
        <vertical/>
        <horizontal/>
      </border>
    </dxf>
  </dxfs>
  <tableStyles count="1" defaultTableStyle="TableStyleMedium2" defaultPivotStyle="PivotStyleLight16">
    <tableStyle name="SlicerStyleDark2 2" pivot="0" table="0" count="10" xr9:uid="{6C7B74B8-4049-439D-AFFC-ADA5196490EF}">
      <tableStyleElement type="wholeTable" dxfId="235"/>
      <tableStyleElement type="headerRow" dxfId="2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04A15AE1-7C4E-4881-BCFD-86CD7067B4A2}"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0"/>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2216C217-953A-4B7B-A2DE-C08FC41E3645}"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0"/>
            </c:ext>
          </c:extLst>
        </c:dLbl>
      </c:pivotFmt>
    </c:pivotFmts>
    <c:plotArea>
      <c:layout>
        <c:manualLayout>
          <c:layoutTarget val="inner"/>
          <c:xMode val="edge"/>
          <c:yMode val="edge"/>
          <c:x val="3.5532562039853363E-3"/>
          <c:y val="0.42664216972878388"/>
          <c:w val="0.8617384263137321"/>
          <c:h val="0.49676115485564304"/>
        </c:manualLayout>
      </c:layout>
      <c:barChart>
        <c:barDir val="bar"/>
        <c:grouping val="clustered"/>
        <c:varyColors val="0"/>
        <c:ser>
          <c:idx val="0"/>
          <c:order val="0"/>
          <c:tx>
            <c:strRef>
              <c:f>'Pivot Report'!$C$64:$C$65</c:f>
              <c:strCache>
                <c:ptCount val="1"/>
                <c:pt idx="0">
                  <c:v>Count of Patient Admission Flag</c:v>
                </c:pt>
              </c:strCache>
            </c:strRef>
          </c:tx>
          <c:spPr>
            <a:solidFill>
              <a:schemeClr val="accent1"/>
            </a:solidFill>
            <a:ln>
              <a:noFill/>
            </a:ln>
            <a:effectLst/>
          </c:spPr>
          <c:invertIfNegative val="0"/>
          <c:cat>
            <c:strRef>
              <c:f>'Pivot Report'!$C$64:$C$65</c:f>
              <c:strCache>
                <c:ptCount val="2"/>
                <c:pt idx="0">
                  <c:v>Admitted</c:v>
                </c:pt>
                <c:pt idx="1">
                  <c:v>Not Admitted</c:v>
                </c:pt>
              </c:strCache>
            </c:strRef>
          </c:cat>
          <c:val>
            <c:numRef>
              <c:f>'Pivot Report'!$C$64:$C$65</c:f>
              <c:numCache>
                <c:formatCode>0</c:formatCode>
                <c:ptCount val="2"/>
                <c:pt idx="0">
                  <c:v>266</c:v>
                </c:pt>
                <c:pt idx="1">
                  <c:v>253</c:v>
                </c:pt>
              </c:numCache>
            </c:numRef>
          </c:val>
          <c:extLst>
            <c:ext xmlns:c16="http://schemas.microsoft.com/office/drawing/2014/chart" uri="{C3380CC4-5D6E-409C-BE32-E72D297353CC}">
              <c16:uniqueId val="{00000007-FD29-40A1-85AC-E541A88740FC}"/>
            </c:ext>
          </c:extLst>
        </c:ser>
        <c:ser>
          <c:idx val="1"/>
          <c:order val="1"/>
          <c:tx>
            <c:strRef>
              <c:f>'Pivot Report'!$C$64:$C$65</c:f>
              <c:strCache>
                <c:ptCount val="1"/>
                <c:pt idx="0">
                  <c:v>Count of Patient Admission Flag2</c:v>
                </c:pt>
              </c:strCache>
            </c:strRef>
          </c:tx>
          <c:spPr>
            <a:solidFill>
              <a:schemeClr val="accent2"/>
            </a:solidFill>
            <a:ln>
              <a:noFill/>
            </a:ln>
            <a:effectLst/>
          </c:spPr>
          <c:invertIfNegative val="0"/>
          <c:cat>
            <c:strRef>
              <c:f>'Pivot Report'!$C$64:$C$65</c:f>
              <c:strCache>
                <c:ptCount val="2"/>
                <c:pt idx="0">
                  <c:v>Admitted</c:v>
                </c:pt>
                <c:pt idx="1">
                  <c:v>Not Admitted</c:v>
                </c:pt>
              </c:strCache>
            </c:strRef>
          </c:cat>
          <c:val>
            <c:numRef>
              <c:f>'Pivot Report'!$C$64:$C$65</c:f>
              <c:numCache>
                <c:formatCode>0.00%</c:formatCode>
                <c:ptCount val="2"/>
                <c:pt idx="0">
                  <c:v>0.51252408477842004</c:v>
                </c:pt>
                <c:pt idx="1">
                  <c:v>0.48747591522157996</c:v>
                </c:pt>
              </c:numCache>
            </c:numRef>
          </c:val>
          <c:extLst>
            <c:ext xmlns:c16="http://schemas.microsoft.com/office/drawing/2014/chart" uri="{C3380CC4-5D6E-409C-BE32-E72D297353CC}">
              <c16:uniqueId val="{00000008-FD29-40A1-85AC-E541A88740FC}"/>
            </c:ext>
          </c:extLst>
        </c:ser>
        <c:dLbls>
          <c:showLegendKey val="0"/>
          <c:showVal val="0"/>
          <c:showCatName val="0"/>
          <c:showSerName val="0"/>
          <c:showPercent val="0"/>
          <c:showBubbleSize val="0"/>
        </c:dLbls>
        <c:gapWidth val="0"/>
        <c:axId val="595350800"/>
        <c:axId val="1963945648"/>
      </c:barChart>
      <c:catAx>
        <c:axId val="595350800"/>
        <c:scaling>
          <c:orientation val="minMax"/>
        </c:scaling>
        <c:delete val="1"/>
        <c:axPos val="l"/>
        <c:numFmt formatCode="General" sourceLinked="1"/>
        <c:majorTickMark val="none"/>
        <c:minorTickMark val="none"/>
        <c:tickLblPos val="nextTo"/>
        <c:crossAx val="1963945648"/>
        <c:crosses val="autoZero"/>
        <c:auto val="1"/>
        <c:lblAlgn val="ctr"/>
        <c:lblOffset val="100"/>
        <c:noMultiLvlLbl val="0"/>
      </c:catAx>
      <c:valAx>
        <c:axId val="1963945648"/>
        <c:scaling>
          <c:orientation val="minMax"/>
        </c:scaling>
        <c:delete val="1"/>
        <c:axPos val="b"/>
        <c:numFmt formatCode="0" sourceLinked="1"/>
        <c:majorTickMark val="none"/>
        <c:minorTickMark val="none"/>
        <c:tickLblPos val="nextTo"/>
        <c:crossAx val="59535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04967518849576E-2"/>
          <c:y val="3.146119350373159E-2"/>
          <c:w val="0.97707560537549976"/>
          <c:h val="0.95505061265341107"/>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5-164C-424B-8A5D-58B6713F7A15}"/>
            </c:ext>
          </c:extLst>
        </c:ser>
        <c:dLbls>
          <c:showLegendKey val="0"/>
          <c:showVal val="0"/>
          <c:showCatName val="0"/>
          <c:showSerName val="0"/>
          <c:showPercent val="0"/>
          <c:showBubbleSize val="0"/>
        </c:dLbls>
        <c:axId val="419831743"/>
        <c:axId val="253639343"/>
      </c:areaChart>
      <c:catAx>
        <c:axId val="419831743"/>
        <c:scaling>
          <c:orientation val="minMax"/>
        </c:scaling>
        <c:delete val="1"/>
        <c:axPos val="b"/>
        <c:numFmt formatCode="General" sourceLinked="1"/>
        <c:majorTickMark val="out"/>
        <c:minorTickMark val="none"/>
        <c:tickLblPos val="nextTo"/>
        <c:crossAx val="253639343"/>
        <c:crosses val="autoZero"/>
        <c:auto val="1"/>
        <c:lblAlgn val="ctr"/>
        <c:lblOffset val="100"/>
        <c:noMultiLvlLbl val="0"/>
      </c:catAx>
      <c:valAx>
        <c:axId val="253639343"/>
        <c:scaling>
          <c:orientation val="minMax"/>
        </c:scaling>
        <c:delete val="1"/>
        <c:axPos val="l"/>
        <c:numFmt formatCode="General" sourceLinked="1"/>
        <c:majorTickMark val="none"/>
        <c:minorTickMark val="none"/>
        <c:tickLblPos val="nextTo"/>
        <c:crossAx val="419831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41997497341575E-3"/>
          <c:y val="9.4407870430642887E-2"/>
          <c:w val="0.98922099100400462"/>
          <c:h val="0.878716973430963"/>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5-860A-4FBE-A111-2BD639102D9D}"/>
            </c:ext>
          </c:extLst>
        </c:ser>
        <c:dLbls>
          <c:showLegendKey val="0"/>
          <c:showVal val="0"/>
          <c:showCatName val="0"/>
          <c:showSerName val="0"/>
          <c:showPercent val="0"/>
          <c:showBubbleSize val="0"/>
        </c:dLbls>
        <c:axId val="592174080"/>
        <c:axId val="1631087888"/>
      </c:areaChart>
      <c:catAx>
        <c:axId val="592174080"/>
        <c:scaling>
          <c:orientation val="minMax"/>
        </c:scaling>
        <c:delete val="1"/>
        <c:axPos val="b"/>
        <c:numFmt formatCode="General" sourceLinked="1"/>
        <c:majorTickMark val="out"/>
        <c:minorTickMark val="none"/>
        <c:tickLblPos val="nextTo"/>
        <c:crossAx val="1631087888"/>
        <c:crosses val="autoZero"/>
        <c:auto val="1"/>
        <c:lblAlgn val="ctr"/>
        <c:lblOffset val="100"/>
        <c:noMultiLvlLbl val="0"/>
      </c:catAx>
      <c:valAx>
        <c:axId val="1631087888"/>
        <c:scaling>
          <c:orientation val="minMax"/>
        </c:scaling>
        <c:delete val="1"/>
        <c:axPos val="l"/>
        <c:numFmt formatCode="0.00" sourceLinked="1"/>
        <c:majorTickMark val="none"/>
        <c:minorTickMark val="none"/>
        <c:tickLblPos val="nextTo"/>
        <c:crossAx val="5921740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71290041326124E-3"/>
          <c:y val="0"/>
          <c:w val="0.98452557483834102"/>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5-4D6B-4690-AF0B-9E48387013F7}"/>
            </c:ext>
          </c:extLst>
        </c:ser>
        <c:dLbls>
          <c:showLegendKey val="0"/>
          <c:showVal val="0"/>
          <c:showCatName val="0"/>
          <c:showSerName val="0"/>
          <c:showPercent val="0"/>
          <c:showBubbleSize val="0"/>
        </c:dLbls>
        <c:axId val="595347088"/>
        <c:axId val="1631072048"/>
      </c:areaChart>
      <c:catAx>
        <c:axId val="595347088"/>
        <c:scaling>
          <c:orientation val="minMax"/>
        </c:scaling>
        <c:delete val="1"/>
        <c:axPos val="b"/>
        <c:numFmt formatCode="General" sourceLinked="1"/>
        <c:majorTickMark val="out"/>
        <c:minorTickMark val="none"/>
        <c:tickLblPos val="nextTo"/>
        <c:crossAx val="1631072048"/>
        <c:crosses val="autoZero"/>
        <c:auto val="1"/>
        <c:lblAlgn val="ctr"/>
        <c:lblOffset val="100"/>
        <c:noMultiLvlLbl val="0"/>
      </c:catAx>
      <c:valAx>
        <c:axId val="1631072048"/>
        <c:scaling>
          <c:orientation val="minMax"/>
        </c:scaling>
        <c:delete val="1"/>
        <c:axPos val="l"/>
        <c:numFmt formatCode="0.00" sourceLinked="1"/>
        <c:majorTickMark val="none"/>
        <c:minorTickMark val="none"/>
        <c:tickLblPos val="nextTo"/>
        <c:crossAx val="59534708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Report'!$A$43:$A$51</c:f>
              <c:strCache>
                <c:ptCount val="8"/>
                <c:pt idx="0">
                  <c:v>0-9</c:v>
                </c:pt>
                <c:pt idx="1">
                  <c:v>10-19</c:v>
                </c:pt>
                <c:pt idx="2">
                  <c:v>20-29</c:v>
                </c:pt>
                <c:pt idx="3">
                  <c:v>30-39</c:v>
                </c:pt>
                <c:pt idx="4">
                  <c:v>40-49</c:v>
                </c:pt>
                <c:pt idx="5">
                  <c:v>50-59</c:v>
                </c:pt>
                <c:pt idx="6">
                  <c:v>60-69</c:v>
                </c:pt>
                <c:pt idx="7">
                  <c:v>70-79</c:v>
                </c:pt>
              </c:strCache>
            </c:strRef>
          </c:cat>
          <c:val>
            <c:numRef>
              <c:f>'Pivot Report'!$B$43:$B$51</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5-DD80-4A77-9231-6E90F782F7EB}"/>
            </c:ext>
          </c:extLst>
        </c:ser>
        <c:dLbls>
          <c:showLegendKey val="0"/>
          <c:showVal val="0"/>
          <c:showCatName val="0"/>
          <c:showSerName val="0"/>
          <c:showPercent val="0"/>
          <c:showBubbleSize val="0"/>
        </c:dLbls>
        <c:gapWidth val="219"/>
        <c:overlap val="-27"/>
        <c:axId val="592122576"/>
        <c:axId val="1819047856"/>
      </c:barChart>
      <c:catAx>
        <c:axId val="5921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047856"/>
        <c:crosses val="autoZero"/>
        <c:auto val="1"/>
        <c:lblAlgn val="ctr"/>
        <c:lblOffset val="100"/>
        <c:noMultiLvlLbl val="0"/>
      </c:catAx>
      <c:valAx>
        <c:axId val="1819047856"/>
        <c:scaling>
          <c:orientation val="minMax"/>
        </c:scaling>
        <c:delete val="1"/>
        <c:axPos val="l"/>
        <c:numFmt formatCode="0.00" sourceLinked="1"/>
        <c:majorTickMark val="none"/>
        <c:minorTickMark val="none"/>
        <c:tickLblPos val="nextTo"/>
        <c:crossAx val="59212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1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6893510553012057"/>
                  <c:h val="0.3304327983094858"/>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0105315157273049"/>
                  <c:h val="0.3304327983094858"/>
                </c:manualLayout>
              </c15:layout>
            </c:ext>
          </c:extLst>
        </c:dLbl>
      </c:pivotFmt>
    </c:pivotFmts>
    <c:plotArea>
      <c:layout>
        <c:manualLayout>
          <c:layoutTarget val="inner"/>
          <c:xMode val="edge"/>
          <c:yMode val="edge"/>
          <c:x val="0.10809450629673871"/>
          <c:y val="0.12242056958991693"/>
          <c:w val="0.83135625408689895"/>
          <c:h val="0.87757956134665893"/>
        </c:manualLayout>
      </c:layout>
      <c:pieChart>
        <c:varyColors val="1"/>
        <c:ser>
          <c:idx val="0"/>
          <c:order val="0"/>
          <c:tx>
            <c:strRef>
              <c:f>'Pivot Report'!$E$42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26893510553012057"/>
                      <c:h val="0.3304327983094858"/>
                    </c:manualLayout>
                  </c15:layout>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30105315157273049"/>
                      <c:h val="0.330432798309485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Report'!$D$43:$D$45</c:f>
              <c:strCache>
                <c:ptCount val="2"/>
                <c:pt idx="0">
                  <c:v>Delay</c:v>
                </c:pt>
                <c:pt idx="1">
                  <c:v>Ontime</c:v>
                </c:pt>
              </c:strCache>
            </c:strRef>
          </c:cat>
          <c:val>
            <c:numRef>
              <c:f>'Pivot Report'!$E$43:$E$45</c:f>
              <c:numCache>
                <c:formatCode>0</c:formatCode>
                <c:ptCount val="2"/>
                <c:pt idx="0">
                  <c:v>324</c:v>
                </c:pt>
                <c:pt idx="1">
                  <c:v>195</c:v>
                </c:pt>
              </c:numCache>
            </c:numRef>
          </c:val>
          <c:extLst>
            <c:ext xmlns:c16="http://schemas.microsoft.com/office/drawing/2014/chart" uri="{C3380CC4-5D6E-409C-BE32-E72D297353CC}">
              <c16:uniqueId val="{00000009-3E89-4D28-A0A8-F5BC933EF4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9500035078779567E-2"/>
          <c:y val="1.1969291189016681E-2"/>
          <c:w val="0.7457105829061087"/>
          <c:h val="7.7437095449866003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14"/>
  </c:pivotSource>
  <c:chart>
    <c:autoTitleDeleted val="1"/>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186383271666114"/>
          <c:y val="0.14904301480398208"/>
          <c:w val="0.59343082423765181"/>
          <c:h val="0.85095698519601781"/>
        </c:manualLayout>
      </c:layout>
      <c:pieChart>
        <c:varyColors val="1"/>
        <c:ser>
          <c:idx val="0"/>
          <c:order val="0"/>
          <c:tx>
            <c:strRef>
              <c:f>'Pivot Report'!$H$42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Report'!$G$43:$G$45</c:f>
              <c:strCache>
                <c:ptCount val="2"/>
                <c:pt idx="0">
                  <c:v>Female</c:v>
                </c:pt>
                <c:pt idx="1">
                  <c:v>Male</c:v>
                </c:pt>
              </c:strCache>
            </c:strRef>
          </c:cat>
          <c:val>
            <c:numRef>
              <c:f>'Pivot Report'!$H$43:$H$45</c:f>
              <c:numCache>
                <c:formatCode>0</c:formatCode>
                <c:ptCount val="2"/>
                <c:pt idx="0">
                  <c:v>254</c:v>
                </c:pt>
                <c:pt idx="1">
                  <c:v>265</c:v>
                </c:pt>
              </c:numCache>
            </c:numRef>
          </c:val>
          <c:extLst>
            <c:ext xmlns:c16="http://schemas.microsoft.com/office/drawing/2014/chart" uri="{C3380CC4-5D6E-409C-BE32-E72D297353CC}">
              <c16:uniqueId val="{00000009-E4AA-4E4A-B7BF-48257F6173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2522291640544947"/>
          <c:y val="3.7926686677103236E-2"/>
          <c:w val="0.76795130938680722"/>
          <c:h val="9.1113144474817651E-2"/>
        </c:manualLayout>
      </c:layout>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5745880065128"/>
          <c:y val="0"/>
          <c:w val="0.56572720149137623"/>
          <c:h val="0.84204505686789155"/>
        </c:manualLayout>
      </c:layout>
      <c:barChart>
        <c:barDir val="bar"/>
        <c:grouping val="clustered"/>
        <c:varyColors val="0"/>
        <c:ser>
          <c:idx val="0"/>
          <c:order val="0"/>
          <c:tx>
            <c:strRef>
              <c:f>'Pivot Report'!$E$49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Report'!$D$50:$D$58</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Report'!$E$50:$E$58</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5-5F87-4628-8559-7DF50C221680}"/>
            </c:ext>
          </c:extLst>
        </c:ser>
        <c:dLbls>
          <c:showLegendKey val="0"/>
          <c:showVal val="0"/>
          <c:showCatName val="0"/>
          <c:showSerName val="0"/>
          <c:showPercent val="0"/>
          <c:showBubbleSize val="0"/>
        </c:dLbls>
        <c:gapWidth val="27"/>
        <c:axId val="2044545152"/>
        <c:axId val="1819062256"/>
      </c:barChart>
      <c:catAx>
        <c:axId val="204454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19062256"/>
        <c:crosses val="autoZero"/>
        <c:auto val="1"/>
        <c:lblAlgn val="ctr"/>
        <c:lblOffset val="100"/>
        <c:noMultiLvlLbl val="0"/>
      </c:catAx>
      <c:valAx>
        <c:axId val="1819062256"/>
        <c:scaling>
          <c:orientation val="minMax"/>
        </c:scaling>
        <c:delete val="1"/>
        <c:axPos val="b"/>
        <c:numFmt formatCode="0" sourceLinked="1"/>
        <c:majorTickMark val="none"/>
        <c:minorTickMark val="none"/>
        <c:tickLblPos val="nextTo"/>
        <c:crossAx val="204454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88374886133527E-2"/>
          <c:y val="4.3617871629682642E-2"/>
          <c:w val="0.95609493174600435"/>
          <c:h val="0.6577990625250989"/>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4-6F08-487C-B680-52EF55B33B8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34819808"/>
        <c:axId val="1631051888"/>
      </c:areaChart>
      <c:catAx>
        <c:axId val="1634819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1051888"/>
        <c:crosses val="autoZero"/>
        <c:auto val="1"/>
        <c:lblAlgn val="ctr"/>
        <c:lblOffset val="100"/>
        <c:noMultiLvlLbl val="0"/>
      </c:catAx>
      <c:valAx>
        <c:axId val="1631051888"/>
        <c:scaling>
          <c:orientation val="minMax"/>
        </c:scaling>
        <c:delete val="1"/>
        <c:axPos val="l"/>
        <c:numFmt formatCode="General" sourceLinked="1"/>
        <c:majorTickMark val="out"/>
        <c:minorTickMark val="none"/>
        <c:tickLblPos val="nextTo"/>
        <c:crossAx val="163481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4-8590-4D8E-8C08-4CBF4AC55E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2174080"/>
        <c:axId val="1631087888"/>
      </c:areaChart>
      <c:catAx>
        <c:axId val="5921740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1087888"/>
        <c:crosses val="autoZero"/>
        <c:auto val="1"/>
        <c:lblAlgn val="ctr"/>
        <c:lblOffset val="100"/>
        <c:noMultiLvlLbl val="0"/>
      </c:catAx>
      <c:valAx>
        <c:axId val="1631087888"/>
        <c:scaling>
          <c:orientation val="minMax"/>
        </c:scaling>
        <c:delete val="1"/>
        <c:axPos val="l"/>
        <c:numFmt formatCode="0.00" sourceLinked="1"/>
        <c:majorTickMark val="out"/>
        <c:minorTickMark val="none"/>
        <c:tickLblPos val="nextTo"/>
        <c:crossAx val="592174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41771042877439E-2"/>
          <c:y val="0.19854305462006713"/>
          <c:w val="0.95078742086961243"/>
          <c:h val="0.6777046808890882"/>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5-11F7-44E9-AE01-B6DBE23F39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5347088"/>
        <c:axId val="1631072048"/>
      </c:areaChart>
      <c:catAx>
        <c:axId val="5953470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1072048"/>
        <c:crosses val="autoZero"/>
        <c:auto val="1"/>
        <c:lblAlgn val="ctr"/>
        <c:lblOffset val="100"/>
        <c:noMultiLvlLbl val="0"/>
      </c:catAx>
      <c:valAx>
        <c:axId val="1631072048"/>
        <c:scaling>
          <c:orientation val="minMax"/>
        </c:scaling>
        <c:delete val="1"/>
        <c:axPos val="l"/>
        <c:numFmt formatCode="0.00" sourceLinked="1"/>
        <c:majorTickMark val="out"/>
        <c:minorTickMark val="none"/>
        <c:tickLblPos val="nextTo"/>
        <c:crossAx val="595347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67</xdr:row>
      <xdr:rowOff>152400</xdr:rowOff>
    </xdr:from>
    <xdr:to>
      <xdr:col>4</xdr:col>
      <xdr:colOff>129540</xdr:colOff>
      <xdr:row>70</xdr:row>
      <xdr:rowOff>175260</xdr:rowOff>
    </xdr:to>
    <xdr:graphicFrame macro="">
      <xdr:nvGraphicFramePr>
        <xdr:cNvPr id="11" name="Chart 10">
          <a:extLst>
            <a:ext uri="{FF2B5EF4-FFF2-40B4-BE49-F238E27FC236}">
              <a16:creationId xmlns:a16="http://schemas.microsoft.com/office/drawing/2014/main" id="{045732B8-ABEC-0C25-246B-4AEC454E1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22946</xdr:colOff>
      <xdr:row>0</xdr:row>
      <xdr:rowOff>12004</xdr:rowOff>
    </xdr:from>
    <xdr:to>
      <xdr:col>5</xdr:col>
      <xdr:colOff>258079</xdr:colOff>
      <xdr:row>2</xdr:row>
      <xdr:rowOff>86027</xdr:rowOff>
    </xdr:to>
    <xdr:sp macro="" textlink="">
      <xdr:nvSpPr>
        <xdr:cNvPr id="2" name="Rectangle: Rounded Corners 1">
          <a:extLst>
            <a:ext uri="{FF2B5EF4-FFF2-40B4-BE49-F238E27FC236}">
              <a16:creationId xmlns:a16="http://schemas.microsoft.com/office/drawing/2014/main" id="{FE7AAA67-64D5-28E1-4EE0-FAE08C4B7A3C}"/>
            </a:ext>
          </a:extLst>
        </xdr:cNvPr>
        <xdr:cNvSpPr/>
      </xdr:nvSpPr>
      <xdr:spPr>
        <a:xfrm>
          <a:off x="22946" y="12004"/>
          <a:ext cx="3283133" cy="436488"/>
        </a:xfrm>
        <a:prstGeom prst="roundRect">
          <a:avLst>
            <a:gd name="adj" fmla="val 234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309152</xdr:colOff>
      <xdr:row>0</xdr:row>
      <xdr:rowOff>19535</xdr:rowOff>
    </xdr:from>
    <xdr:to>
      <xdr:col>7</xdr:col>
      <xdr:colOff>82731</xdr:colOff>
      <xdr:row>2</xdr:row>
      <xdr:rowOff>93558</xdr:rowOff>
    </xdr:to>
    <xdr:sp macro="" textlink="">
      <xdr:nvSpPr>
        <xdr:cNvPr id="3" name="Rectangle: Rounded Corners 2">
          <a:extLst>
            <a:ext uri="{FF2B5EF4-FFF2-40B4-BE49-F238E27FC236}">
              <a16:creationId xmlns:a16="http://schemas.microsoft.com/office/drawing/2014/main" id="{7DEA67B0-9ECF-A82A-EBD3-93C79D042DF0}"/>
            </a:ext>
          </a:extLst>
        </xdr:cNvPr>
        <xdr:cNvSpPr/>
      </xdr:nvSpPr>
      <xdr:spPr>
        <a:xfrm>
          <a:off x="3357152" y="19535"/>
          <a:ext cx="992779" cy="436488"/>
        </a:xfrm>
        <a:prstGeom prst="roundRect">
          <a:avLst>
            <a:gd name="adj" fmla="val 234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118703</xdr:colOff>
      <xdr:row>0</xdr:row>
      <xdr:rowOff>60158</xdr:rowOff>
    </xdr:from>
    <xdr:to>
      <xdr:col>9</xdr:col>
      <xdr:colOff>101288</xdr:colOff>
      <xdr:row>6</xdr:row>
      <xdr:rowOff>4768</xdr:rowOff>
    </xdr:to>
    <xdr:sp macro="" textlink="">
      <xdr:nvSpPr>
        <xdr:cNvPr id="4" name="Rectangle: Rounded Corners 3">
          <a:extLst>
            <a:ext uri="{FF2B5EF4-FFF2-40B4-BE49-F238E27FC236}">
              <a16:creationId xmlns:a16="http://schemas.microsoft.com/office/drawing/2014/main" id="{3EF00F93-5015-A574-E682-CE52A7328941}"/>
            </a:ext>
          </a:extLst>
        </xdr:cNvPr>
        <xdr:cNvSpPr/>
      </xdr:nvSpPr>
      <xdr:spPr>
        <a:xfrm>
          <a:off x="4385903" y="60158"/>
          <a:ext cx="1201785" cy="1051515"/>
        </a:xfrm>
        <a:prstGeom prst="roundRect">
          <a:avLst>
            <a:gd name="adj" fmla="val 63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162138</xdr:colOff>
      <xdr:row>0</xdr:row>
      <xdr:rowOff>78043</xdr:rowOff>
    </xdr:from>
    <xdr:to>
      <xdr:col>11</xdr:col>
      <xdr:colOff>179557</xdr:colOff>
      <xdr:row>5</xdr:row>
      <xdr:rowOff>169128</xdr:rowOff>
    </xdr:to>
    <xdr:sp macro="" textlink="">
      <xdr:nvSpPr>
        <xdr:cNvPr id="5" name="Rectangle: Rounded Corners 4">
          <a:extLst>
            <a:ext uri="{FF2B5EF4-FFF2-40B4-BE49-F238E27FC236}">
              <a16:creationId xmlns:a16="http://schemas.microsoft.com/office/drawing/2014/main" id="{BE0879E4-FA8D-E05F-AD26-FECFDA7E2FE9}"/>
            </a:ext>
          </a:extLst>
        </xdr:cNvPr>
        <xdr:cNvSpPr/>
      </xdr:nvSpPr>
      <xdr:spPr>
        <a:xfrm>
          <a:off x="5648538" y="78043"/>
          <a:ext cx="1236619" cy="1013506"/>
        </a:xfrm>
        <a:prstGeom prst="roundRect">
          <a:avLst>
            <a:gd name="adj" fmla="val 63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45308</xdr:colOff>
      <xdr:row>2</xdr:row>
      <xdr:rowOff>123567</xdr:rowOff>
    </xdr:from>
    <xdr:to>
      <xdr:col>1</xdr:col>
      <xdr:colOff>148046</xdr:colOff>
      <xdr:row>16</xdr:row>
      <xdr:rowOff>144162</xdr:rowOff>
    </xdr:to>
    <xdr:sp macro="" textlink="">
      <xdr:nvSpPr>
        <xdr:cNvPr id="6" name="Rectangle: Rounded Corners 5">
          <a:extLst>
            <a:ext uri="{FF2B5EF4-FFF2-40B4-BE49-F238E27FC236}">
              <a16:creationId xmlns:a16="http://schemas.microsoft.com/office/drawing/2014/main" id="{ADCBAF00-5FAC-53DB-BDD7-8FB8F305D1F9}"/>
            </a:ext>
          </a:extLst>
        </xdr:cNvPr>
        <xdr:cNvSpPr/>
      </xdr:nvSpPr>
      <xdr:spPr>
        <a:xfrm>
          <a:off x="45308" y="486032"/>
          <a:ext cx="712338" cy="2557849"/>
        </a:xfrm>
        <a:prstGeom prst="roundRect">
          <a:avLst>
            <a:gd name="adj" fmla="val 123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145440</xdr:colOff>
      <xdr:row>2</xdr:row>
      <xdr:rowOff>124214</xdr:rowOff>
    </xdr:from>
    <xdr:to>
      <xdr:col>7</xdr:col>
      <xdr:colOff>84221</xdr:colOff>
      <xdr:row>6</xdr:row>
      <xdr:rowOff>180470</xdr:rowOff>
    </xdr:to>
    <xdr:sp macro="" textlink="">
      <xdr:nvSpPr>
        <xdr:cNvPr id="8" name="Rectangle: Rounded Corners 7">
          <a:extLst>
            <a:ext uri="{FF2B5EF4-FFF2-40B4-BE49-F238E27FC236}">
              <a16:creationId xmlns:a16="http://schemas.microsoft.com/office/drawing/2014/main" id="{8405C5C6-C721-0EDC-72AB-A09D895C3C5E}"/>
            </a:ext>
          </a:extLst>
        </xdr:cNvPr>
        <xdr:cNvSpPr/>
      </xdr:nvSpPr>
      <xdr:spPr>
        <a:xfrm>
          <a:off x="3193440" y="493182"/>
          <a:ext cx="1157981" cy="794193"/>
        </a:xfrm>
        <a:prstGeom prst="roundRect">
          <a:avLst>
            <a:gd name="adj" fmla="val 123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224300</xdr:colOff>
      <xdr:row>2</xdr:row>
      <xdr:rowOff>131805</xdr:rowOff>
    </xdr:from>
    <xdr:to>
      <xdr:col>3</xdr:col>
      <xdr:colOff>148529</xdr:colOff>
      <xdr:row>7</xdr:row>
      <xdr:rowOff>13768</xdr:rowOff>
    </xdr:to>
    <xdr:sp macro="" textlink="">
      <xdr:nvSpPr>
        <xdr:cNvPr id="7" name="Rectangle: Rounded Corners 6">
          <a:extLst>
            <a:ext uri="{FF2B5EF4-FFF2-40B4-BE49-F238E27FC236}">
              <a16:creationId xmlns:a16="http://schemas.microsoft.com/office/drawing/2014/main" id="{3A84D923-A591-F193-0327-82D13D1D9661}"/>
            </a:ext>
          </a:extLst>
        </xdr:cNvPr>
        <xdr:cNvSpPr/>
      </xdr:nvSpPr>
      <xdr:spPr>
        <a:xfrm>
          <a:off x="833900" y="494270"/>
          <a:ext cx="1143429" cy="788125"/>
        </a:xfrm>
        <a:prstGeom prst="roundRect">
          <a:avLst>
            <a:gd name="adj" fmla="val 123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171213</xdr:colOff>
      <xdr:row>2</xdr:row>
      <xdr:rowOff>131807</xdr:rowOff>
    </xdr:from>
    <xdr:to>
      <xdr:col>5</xdr:col>
      <xdr:colOff>95442</xdr:colOff>
      <xdr:row>7</xdr:row>
      <xdr:rowOff>17651</xdr:rowOff>
    </xdr:to>
    <xdr:sp macro="" textlink="">
      <xdr:nvSpPr>
        <xdr:cNvPr id="9" name="Rectangle: Rounded Corners 8">
          <a:extLst>
            <a:ext uri="{FF2B5EF4-FFF2-40B4-BE49-F238E27FC236}">
              <a16:creationId xmlns:a16="http://schemas.microsoft.com/office/drawing/2014/main" id="{77CB6C2A-F2B6-5A94-7607-8FCB7903F023}"/>
            </a:ext>
          </a:extLst>
        </xdr:cNvPr>
        <xdr:cNvSpPr/>
      </xdr:nvSpPr>
      <xdr:spPr>
        <a:xfrm>
          <a:off x="2000013" y="494272"/>
          <a:ext cx="1143429" cy="792006"/>
        </a:xfrm>
        <a:prstGeom prst="roundRect">
          <a:avLst>
            <a:gd name="adj" fmla="val 123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174872</xdr:colOff>
      <xdr:row>9</xdr:row>
      <xdr:rowOff>144162</xdr:rowOff>
    </xdr:from>
    <xdr:to>
      <xdr:col>7</xdr:col>
      <xdr:colOff>94735</xdr:colOff>
      <xdr:row>16</xdr:row>
      <xdr:rowOff>100264</xdr:rowOff>
    </xdr:to>
    <xdr:sp macro="" textlink="">
      <xdr:nvSpPr>
        <xdr:cNvPr id="13" name="Rectangle: Rounded Corners 12">
          <a:extLst>
            <a:ext uri="{FF2B5EF4-FFF2-40B4-BE49-F238E27FC236}">
              <a16:creationId xmlns:a16="http://schemas.microsoft.com/office/drawing/2014/main" id="{86444868-FB08-5C05-94E8-C5A2B35E22A7}"/>
            </a:ext>
          </a:extLst>
        </xdr:cNvPr>
        <xdr:cNvSpPr/>
      </xdr:nvSpPr>
      <xdr:spPr>
        <a:xfrm>
          <a:off x="784472" y="1804520"/>
          <a:ext cx="3577463" cy="1247491"/>
        </a:xfrm>
        <a:prstGeom prst="roundRect">
          <a:avLst>
            <a:gd name="adj" fmla="val 123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156952</xdr:colOff>
      <xdr:row>6</xdr:row>
      <xdr:rowOff>50943</xdr:rowOff>
    </xdr:from>
    <xdr:to>
      <xdr:col>11</xdr:col>
      <xdr:colOff>200260</xdr:colOff>
      <xdr:row>16</xdr:row>
      <xdr:rowOff>108608</xdr:rowOff>
    </xdr:to>
    <xdr:sp macro="" textlink="">
      <xdr:nvSpPr>
        <xdr:cNvPr id="17" name="Rectangle: Rounded Corners 16">
          <a:extLst>
            <a:ext uri="{FF2B5EF4-FFF2-40B4-BE49-F238E27FC236}">
              <a16:creationId xmlns:a16="http://schemas.microsoft.com/office/drawing/2014/main" id="{CD6CFDAC-9A86-F785-E500-C9031BBD8A16}"/>
            </a:ext>
          </a:extLst>
        </xdr:cNvPr>
        <xdr:cNvSpPr/>
      </xdr:nvSpPr>
      <xdr:spPr>
        <a:xfrm>
          <a:off x="4424152" y="1157848"/>
          <a:ext cx="2481708" cy="1902507"/>
        </a:xfrm>
        <a:prstGeom prst="roundRect">
          <a:avLst>
            <a:gd name="adj" fmla="val 63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1</xdr:col>
      <xdr:colOff>53548</xdr:colOff>
      <xdr:row>0</xdr:row>
      <xdr:rowOff>70020</xdr:rowOff>
    </xdr:from>
    <xdr:to>
      <xdr:col>5</xdr:col>
      <xdr:colOff>16472</xdr:colOff>
      <xdr:row>1</xdr:row>
      <xdr:rowOff>74137</xdr:rowOff>
    </xdr:to>
    <xdr:sp macro="" textlink="">
      <xdr:nvSpPr>
        <xdr:cNvPr id="18" name="TextBox 17">
          <a:extLst>
            <a:ext uri="{FF2B5EF4-FFF2-40B4-BE49-F238E27FC236}">
              <a16:creationId xmlns:a16="http://schemas.microsoft.com/office/drawing/2014/main" id="{EB2A5F1A-DCEE-9EF9-4F90-256E5A2CB4C5}"/>
            </a:ext>
          </a:extLst>
        </xdr:cNvPr>
        <xdr:cNvSpPr txBox="1"/>
      </xdr:nvSpPr>
      <xdr:spPr>
        <a:xfrm>
          <a:off x="663148" y="70020"/>
          <a:ext cx="2401324" cy="18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Hospital Emergency Room Dashboard</a:t>
          </a:r>
        </a:p>
      </xdr:txBody>
    </xdr:sp>
    <xdr:clientData/>
  </xdr:twoCellAnchor>
  <xdr:twoCellAnchor editAs="oneCell">
    <xdr:from>
      <xdr:col>0</xdr:col>
      <xdr:colOff>0</xdr:colOff>
      <xdr:row>0</xdr:row>
      <xdr:rowOff>16475</xdr:rowOff>
    </xdr:from>
    <xdr:to>
      <xdr:col>1</xdr:col>
      <xdr:colOff>98854</xdr:colOff>
      <xdr:row>2</xdr:row>
      <xdr:rowOff>82377</xdr:rowOff>
    </xdr:to>
    <xdr:pic>
      <xdr:nvPicPr>
        <xdr:cNvPr id="20" name="Picture 19">
          <a:extLst>
            <a:ext uri="{FF2B5EF4-FFF2-40B4-BE49-F238E27FC236}">
              <a16:creationId xmlns:a16="http://schemas.microsoft.com/office/drawing/2014/main" id="{EC330039-72F4-EAB8-4E6E-4690211F5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475"/>
          <a:ext cx="708454" cy="428367"/>
        </a:xfrm>
        <a:prstGeom prst="rect">
          <a:avLst/>
        </a:prstGeom>
      </xdr:spPr>
    </xdr:pic>
    <xdr:clientData/>
  </xdr:twoCellAnchor>
  <xdr:twoCellAnchor editAs="absolute">
    <xdr:from>
      <xdr:col>2</xdr:col>
      <xdr:colOff>193592</xdr:colOff>
      <xdr:row>1</xdr:row>
      <xdr:rowOff>70022</xdr:rowOff>
    </xdr:from>
    <xdr:to>
      <xdr:col>3</xdr:col>
      <xdr:colOff>448963</xdr:colOff>
      <xdr:row>2</xdr:row>
      <xdr:rowOff>45304</xdr:rowOff>
    </xdr:to>
    <xdr:sp macro="" textlink="">
      <xdr:nvSpPr>
        <xdr:cNvPr id="21" name="TextBox 20">
          <a:extLst>
            <a:ext uri="{FF2B5EF4-FFF2-40B4-BE49-F238E27FC236}">
              <a16:creationId xmlns:a16="http://schemas.microsoft.com/office/drawing/2014/main" id="{17098334-AB41-8FEA-892C-CA88BBEADA62}"/>
            </a:ext>
          </a:extLst>
        </xdr:cNvPr>
        <xdr:cNvSpPr txBox="1"/>
      </xdr:nvSpPr>
      <xdr:spPr>
        <a:xfrm>
          <a:off x="1412792" y="251254"/>
          <a:ext cx="864971" cy="15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 Report</a:t>
          </a:r>
        </a:p>
      </xdr:txBody>
    </xdr:sp>
    <xdr:clientData/>
  </xdr:twoCellAnchor>
  <xdr:twoCellAnchor editAs="absolute">
    <xdr:from>
      <xdr:col>1</xdr:col>
      <xdr:colOff>197709</xdr:colOff>
      <xdr:row>4</xdr:row>
      <xdr:rowOff>78253</xdr:rowOff>
    </xdr:from>
    <xdr:to>
      <xdr:col>3</xdr:col>
      <xdr:colOff>127688</xdr:colOff>
      <xdr:row>5</xdr:row>
      <xdr:rowOff>78261</xdr:rowOff>
    </xdr:to>
    <xdr:sp macro="" textlink="">
      <xdr:nvSpPr>
        <xdr:cNvPr id="23" name="TextBox 22">
          <a:extLst>
            <a:ext uri="{FF2B5EF4-FFF2-40B4-BE49-F238E27FC236}">
              <a16:creationId xmlns:a16="http://schemas.microsoft.com/office/drawing/2014/main" id="{DBFF8565-1FE3-08E7-FEB5-3CC93A7A81EC}"/>
            </a:ext>
          </a:extLst>
        </xdr:cNvPr>
        <xdr:cNvSpPr txBox="1"/>
      </xdr:nvSpPr>
      <xdr:spPr>
        <a:xfrm>
          <a:off x="807309" y="803183"/>
          <a:ext cx="1149179" cy="18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a:t>
          </a:r>
          <a:endParaRPr lang="en-IN" sz="800"/>
        </a:p>
      </xdr:txBody>
    </xdr:sp>
    <xdr:clientData/>
  </xdr:twoCellAnchor>
  <xdr:twoCellAnchor editAs="absolute">
    <xdr:from>
      <xdr:col>1</xdr:col>
      <xdr:colOff>152399</xdr:colOff>
      <xdr:row>3</xdr:row>
      <xdr:rowOff>61783</xdr:rowOff>
    </xdr:from>
    <xdr:to>
      <xdr:col>3</xdr:col>
      <xdr:colOff>90616</xdr:colOff>
      <xdr:row>4</xdr:row>
      <xdr:rowOff>37070</xdr:rowOff>
    </xdr:to>
    <xdr:sp macro="" textlink="'Pivot Report'!A5">
      <xdr:nvSpPr>
        <xdr:cNvPr id="26" name="TextBox 25">
          <a:extLst>
            <a:ext uri="{FF2B5EF4-FFF2-40B4-BE49-F238E27FC236}">
              <a16:creationId xmlns:a16="http://schemas.microsoft.com/office/drawing/2014/main" id="{AEF70E22-DF66-15CD-4116-9C29C5F4CCAA}"/>
            </a:ext>
          </a:extLst>
        </xdr:cNvPr>
        <xdr:cNvSpPr txBox="1"/>
      </xdr:nvSpPr>
      <xdr:spPr>
        <a:xfrm>
          <a:off x="761999" y="605480"/>
          <a:ext cx="1157417" cy="15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2A96169-D5ED-4178-90D1-FCDA86D57ACC}" type="TxLink">
            <a:rPr lang="en-US" sz="1100" b="0" i="0" u="none" strike="noStrike">
              <a:solidFill>
                <a:srgbClr val="000000"/>
              </a:solidFill>
              <a:latin typeface="Aptos Narrow"/>
            </a:rPr>
            <a:pPr algn="ctr"/>
            <a:t>999</a:t>
          </a:fld>
          <a:endParaRPr lang="en-IN" sz="900"/>
        </a:p>
      </xdr:txBody>
    </xdr:sp>
    <xdr:clientData/>
  </xdr:twoCellAnchor>
  <xdr:twoCellAnchor editAs="absolute">
    <xdr:from>
      <xdr:col>3</xdr:col>
      <xdr:colOff>168876</xdr:colOff>
      <xdr:row>4</xdr:row>
      <xdr:rowOff>90610</xdr:rowOff>
    </xdr:from>
    <xdr:to>
      <xdr:col>5</xdr:col>
      <xdr:colOff>98855</xdr:colOff>
      <xdr:row>5</xdr:row>
      <xdr:rowOff>74141</xdr:rowOff>
    </xdr:to>
    <xdr:sp macro="" textlink="">
      <xdr:nvSpPr>
        <xdr:cNvPr id="39" name="TextBox 38">
          <a:extLst>
            <a:ext uri="{FF2B5EF4-FFF2-40B4-BE49-F238E27FC236}">
              <a16:creationId xmlns:a16="http://schemas.microsoft.com/office/drawing/2014/main" id="{1451FBE0-89F2-F293-5874-8588D4E5B439}"/>
            </a:ext>
          </a:extLst>
        </xdr:cNvPr>
        <xdr:cNvSpPr txBox="1"/>
      </xdr:nvSpPr>
      <xdr:spPr>
        <a:xfrm>
          <a:off x="1997676" y="815540"/>
          <a:ext cx="1149179" cy="164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Average Wait Time</a:t>
          </a:r>
        </a:p>
      </xdr:txBody>
    </xdr:sp>
    <xdr:clientData/>
  </xdr:twoCellAnchor>
  <xdr:twoCellAnchor editAs="absolute">
    <xdr:from>
      <xdr:col>3</xdr:col>
      <xdr:colOff>160637</xdr:colOff>
      <xdr:row>3</xdr:row>
      <xdr:rowOff>115329</xdr:rowOff>
    </xdr:from>
    <xdr:to>
      <xdr:col>5</xdr:col>
      <xdr:colOff>98854</xdr:colOff>
      <xdr:row>4</xdr:row>
      <xdr:rowOff>90616</xdr:rowOff>
    </xdr:to>
    <xdr:sp macro="" textlink="'Pivot Report'!A10">
      <xdr:nvSpPr>
        <xdr:cNvPr id="40" name="TextBox 39">
          <a:extLst>
            <a:ext uri="{FF2B5EF4-FFF2-40B4-BE49-F238E27FC236}">
              <a16:creationId xmlns:a16="http://schemas.microsoft.com/office/drawing/2014/main" id="{429BFC09-88A0-9F07-3269-751F985CB43E}"/>
            </a:ext>
          </a:extLst>
        </xdr:cNvPr>
        <xdr:cNvSpPr txBox="1"/>
      </xdr:nvSpPr>
      <xdr:spPr>
        <a:xfrm>
          <a:off x="1989437" y="659026"/>
          <a:ext cx="1157417" cy="15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7BB061E-C54D-428A-8162-AD9B9085CF37}" type="TxLink">
            <a:rPr lang="en-US" sz="1100" b="0" i="0" u="none" strike="noStrike">
              <a:solidFill>
                <a:srgbClr val="000000"/>
              </a:solidFill>
              <a:latin typeface="Aptos Narrow"/>
            </a:rPr>
            <a:pPr algn="ctr"/>
            <a:t>35.81</a:t>
          </a:fld>
          <a:endParaRPr lang="en-IN" sz="900"/>
        </a:p>
      </xdr:txBody>
    </xdr:sp>
    <xdr:clientData/>
  </xdr:twoCellAnchor>
  <xdr:twoCellAnchor editAs="absolute">
    <xdr:from>
      <xdr:col>5</xdr:col>
      <xdr:colOff>148281</xdr:colOff>
      <xdr:row>4</xdr:row>
      <xdr:rowOff>86491</xdr:rowOff>
    </xdr:from>
    <xdr:to>
      <xdr:col>7</xdr:col>
      <xdr:colOff>102973</xdr:colOff>
      <xdr:row>5</xdr:row>
      <xdr:rowOff>102973</xdr:rowOff>
    </xdr:to>
    <xdr:sp macro="" textlink="">
      <xdr:nvSpPr>
        <xdr:cNvPr id="41" name="TextBox 40">
          <a:extLst>
            <a:ext uri="{FF2B5EF4-FFF2-40B4-BE49-F238E27FC236}">
              <a16:creationId xmlns:a16="http://schemas.microsoft.com/office/drawing/2014/main" id="{6B2A3CED-5B77-293E-1A3D-1B509AD0F767}"/>
            </a:ext>
          </a:extLst>
        </xdr:cNvPr>
        <xdr:cNvSpPr txBox="1"/>
      </xdr:nvSpPr>
      <xdr:spPr>
        <a:xfrm>
          <a:off x="3196281" y="811421"/>
          <a:ext cx="1173892" cy="19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 Satisfaction Score</a:t>
          </a:r>
        </a:p>
      </xdr:txBody>
    </xdr:sp>
    <xdr:clientData/>
  </xdr:twoCellAnchor>
  <xdr:twoCellAnchor editAs="absolute">
    <xdr:from>
      <xdr:col>5</xdr:col>
      <xdr:colOff>144161</xdr:colOff>
      <xdr:row>3</xdr:row>
      <xdr:rowOff>111210</xdr:rowOff>
    </xdr:from>
    <xdr:to>
      <xdr:col>7</xdr:col>
      <xdr:colOff>82378</xdr:colOff>
      <xdr:row>4</xdr:row>
      <xdr:rowOff>86497</xdr:rowOff>
    </xdr:to>
    <xdr:sp macro="" textlink="'Pivot Report'!A16">
      <xdr:nvSpPr>
        <xdr:cNvPr id="42" name="TextBox 41">
          <a:extLst>
            <a:ext uri="{FF2B5EF4-FFF2-40B4-BE49-F238E27FC236}">
              <a16:creationId xmlns:a16="http://schemas.microsoft.com/office/drawing/2014/main" id="{3A1B8BDA-4E06-C0AD-BF38-FDD3C3614DFD}"/>
            </a:ext>
          </a:extLst>
        </xdr:cNvPr>
        <xdr:cNvSpPr txBox="1"/>
      </xdr:nvSpPr>
      <xdr:spPr>
        <a:xfrm>
          <a:off x="3192161" y="654907"/>
          <a:ext cx="1157417" cy="15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DC6228A-35B6-4974-B4AF-C3DE20449FAA}" type="TxLink">
            <a:rPr lang="en-US" sz="1100" b="0" i="0" u="none" strike="noStrike">
              <a:solidFill>
                <a:srgbClr val="000000"/>
              </a:solidFill>
              <a:latin typeface="Aptos Narrow"/>
            </a:rPr>
            <a:pPr algn="ctr"/>
            <a:t>5.15</a:t>
          </a:fld>
          <a:endParaRPr lang="en-IN" sz="900"/>
        </a:p>
      </xdr:txBody>
    </xdr:sp>
    <xdr:clientData/>
  </xdr:twoCellAnchor>
  <xdr:twoCellAnchor editAs="oneCell">
    <xdr:from>
      <xdr:col>2</xdr:col>
      <xdr:colOff>407774</xdr:colOff>
      <xdr:row>3</xdr:row>
      <xdr:rowOff>4118</xdr:rowOff>
    </xdr:from>
    <xdr:to>
      <xdr:col>3</xdr:col>
      <xdr:colOff>121664</xdr:colOff>
      <xdr:row>4</xdr:row>
      <xdr:rowOff>164756</xdr:rowOff>
    </xdr:to>
    <xdr:pic>
      <xdr:nvPicPr>
        <xdr:cNvPr id="44" name="Graphic 43" descr="Male profile with solid fill">
          <a:extLst>
            <a:ext uri="{FF2B5EF4-FFF2-40B4-BE49-F238E27FC236}">
              <a16:creationId xmlns:a16="http://schemas.microsoft.com/office/drawing/2014/main" id="{1F0C0128-6B7A-E70B-45B3-B788980827C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26974" y="547815"/>
          <a:ext cx="323490" cy="341871"/>
        </a:xfrm>
        <a:prstGeom prst="rect">
          <a:avLst/>
        </a:prstGeom>
      </xdr:spPr>
    </xdr:pic>
    <xdr:clientData/>
  </xdr:twoCellAnchor>
  <xdr:twoCellAnchor editAs="oneCell">
    <xdr:from>
      <xdr:col>6</xdr:col>
      <xdr:colOff>370706</xdr:colOff>
      <xdr:row>3</xdr:row>
      <xdr:rowOff>28833</xdr:rowOff>
    </xdr:from>
    <xdr:to>
      <xdr:col>7</xdr:col>
      <xdr:colOff>28835</xdr:colOff>
      <xdr:row>4</xdr:row>
      <xdr:rowOff>115329</xdr:rowOff>
    </xdr:to>
    <xdr:pic>
      <xdr:nvPicPr>
        <xdr:cNvPr id="46" name="Graphic 45" descr="Star with solid fill">
          <a:extLst>
            <a:ext uri="{FF2B5EF4-FFF2-40B4-BE49-F238E27FC236}">
              <a16:creationId xmlns:a16="http://schemas.microsoft.com/office/drawing/2014/main" id="{8B1394BE-3457-91C5-75D2-8D52B83F4D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8306" y="572530"/>
          <a:ext cx="267729" cy="267729"/>
        </a:xfrm>
        <a:prstGeom prst="rect">
          <a:avLst/>
        </a:prstGeom>
      </xdr:spPr>
    </xdr:pic>
    <xdr:clientData/>
  </xdr:twoCellAnchor>
  <xdr:twoCellAnchor editAs="oneCell">
    <xdr:from>
      <xdr:col>4</xdr:col>
      <xdr:colOff>416015</xdr:colOff>
      <xdr:row>3</xdr:row>
      <xdr:rowOff>28833</xdr:rowOff>
    </xdr:from>
    <xdr:to>
      <xdr:col>5</xdr:col>
      <xdr:colOff>57669</xdr:colOff>
      <xdr:row>4</xdr:row>
      <xdr:rowOff>98854</xdr:rowOff>
    </xdr:to>
    <xdr:pic>
      <xdr:nvPicPr>
        <xdr:cNvPr id="48" name="Graphic 47" descr="Hourglass Finished with solid fill">
          <a:extLst>
            <a:ext uri="{FF2B5EF4-FFF2-40B4-BE49-F238E27FC236}">
              <a16:creationId xmlns:a16="http://schemas.microsoft.com/office/drawing/2014/main" id="{EB5F1219-2259-700A-82D0-31187FE854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54415" y="572530"/>
          <a:ext cx="251254" cy="251254"/>
        </a:xfrm>
        <a:prstGeom prst="rect">
          <a:avLst/>
        </a:prstGeom>
      </xdr:spPr>
    </xdr:pic>
    <xdr:clientData/>
  </xdr:twoCellAnchor>
  <xdr:twoCellAnchor editAs="oneCell">
    <xdr:from>
      <xdr:col>0</xdr:col>
      <xdr:colOff>74141</xdr:colOff>
      <xdr:row>3</xdr:row>
      <xdr:rowOff>12356</xdr:rowOff>
    </xdr:from>
    <xdr:to>
      <xdr:col>1</xdr:col>
      <xdr:colOff>119448</xdr:colOff>
      <xdr:row>16</xdr:row>
      <xdr:rowOff>115329</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2E18DEB8-2E87-482E-9110-4A1F20DE3F3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4141" y="556053"/>
              <a:ext cx="654907" cy="2458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230659</xdr:colOff>
      <xdr:row>4</xdr:row>
      <xdr:rowOff>135923</xdr:rowOff>
    </xdr:from>
    <xdr:to>
      <xdr:col>3</xdr:col>
      <xdr:colOff>115330</xdr:colOff>
      <xdr:row>7</xdr:row>
      <xdr:rowOff>20595</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8A1D41B9-3CE6-4FCB-974F-7FD79C3E7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168876</xdr:colOff>
      <xdr:row>5</xdr:row>
      <xdr:rowOff>102975</xdr:rowOff>
    </xdr:from>
    <xdr:to>
      <xdr:col>5</xdr:col>
      <xdr:colOff>98854</xdr:colOff>
      <xdr:row>7</xdr:row>
      <xdr:rowOff>24713</xdr:rowOff>
    </xdr:to>
    <xdr:graphicFrame macro="">
      <xdr:nvGraphicFramePr>
        <xdr:cNvPr id="12" name="Chart 11">
          <a:hlinkClick xmlns:r="http://schemas.openxmlformats.org/officeDocument/2006/relationships" r:id="rId10"/>
          <a:extLst>
            <a:ext uri="{FF2B5EF4-FFF2-40B4-BE49-F238E27FC236}">
              <a16:creationId xmlns:a16="http://schemas.microsoft.com/office/drawing/2014/main" id="{8C9BB4B8-4508-43DC-AEE5-9272569D9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136358</xdr:colOff>
      <xdr:row>4</xdr:row>
      <xdr:rowOff>157274</xdr:rowOff>
    </xdr:from>
    <xdr:to>
      <xdr:col>7</xdr:col>
      <xdr:colOff>73923</xdr:colOff>
      <xdr:row>6</xdr:row>
      <xdr:rowOff>180473</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4D6FB49F-AB89-49D2-867E-2B6A41F30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177114</xdr:colOff>
      <xdr:row>9</xdr:row>
      <xdr:rowOff>160637</xdr:rowOff>
    </xdr:from>
    <xdr:to>
      <xdr:col>7</xdr:col>
      <xdr:colOff>86496</xdr:colOff>
      <xdr:row>16</xdr:row>
      <xdr:rowOff>12357</xdr:rowOff>
    </xdr:to>
    <xdr:graphicFrame macro="">
      <xdr:nvGraphicFramePr>
        <xdr:cNvPr id="16" name="Chart 15">
          <a:extLst>
            <a:ext uri="{FF2B5EF4-FFF2-40B4-BE49-F238E27FC236}">
              <a16:creationId xmlns:a16="http://schemas.microsoft.com/office/drawing/2014/main" id="{34C5F61D-6FA9-4753-981B-E6E97ECBE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177114</xdr:colOff>
      <xdr:row>0</xdr:row>
      <xdr:rowOff>127686</xdr:rowOff>
    </xdr:from>
    <xdr:to>
      <xdr:col>9</xdr:col>
      <xdr:colOff>41190</xdr:colOff>
      <xdr:row>5</xdr:row>
      <xdr:rowOff>16475</xdr:rowOff>
    </xdr:to>
    <xdr:graphicFrame macro="">
      <xdr:nvGraphicFramePr>
        <xdr:cNvPr id="22" name="Chart 21">
          <a:extLst>
            <a:ext uri="{FF2B5EF4-FFF2-40B4-BE49-F238E27FC236}">
              <a16:creationId xmlns:a16="http://schemas.microsoft.com/office/drawing/2014/main" id="{69A64FBA-DD3E-4265-8CBA-8A62B11AC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244894</xdr:colOff>
      <xdr:row>15</xdr:row>
      <xdr:rowOff>119449</xdr:rowOff>
    </xdr:from>
    <xdr:to>
      <xdr:col>5</xdr:col>
      <xdr:colOff>135924</xdr:colOff>
      <xdr:row>16</xdr:row>
      <xdr:rowOff>119456</xdr:rowOff>
    </xdr:to>
    <xdr:sp macro="" textlink="">
      <xdr:nvSpPr>
        <xdr:cNvPr id="24" name="TextBox 23">
          <a:extLst>
            <a:ext uri="{FF2B5EF4-FFF2-40B4-BE49-F238E27FC236}">
              <a16:creationId xmlns:a16="http://schemas.microsoft.com/office/drawing/2014/main" id="{B0183B86-A63D-42F3-9022-A8FA8470970A}"/>
            </a:ext>
          </a:extLst>
        </xdr:cNvPr>
        <xdr:cNvSpPr txBox="1"/>
      </xdr:nvSpPr>
      <xdr:spPr>
        <a:xfrm>
          <a:off x="1464094" y="2837935"/>
          <a:ext cx="1719830" cy="18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 by Age group</a:t>
          </a:r>
          <a:endParaRPr lang="en-IN" sz="800"/>
        </a:p>
      </xdr:txBody>
    </xdr:sp>
    <xdr:clientData/>
  </xdr:twoCellAnchor>
  <xdr:twoCellAnchor editAs="absolute">
    <xdr:from>
      <xdr:col>7</xdr:col>
      <xdr:colOff>114150</xdr:colOff>
      <xdr:row>4</xdr:row>
      <xdr:rowOff>179936</xdr:rowOff>
    </xdr:from>
    <xdr:to>
      <xdr:col>9</xdr:col>
      <xdr:colOff>115330</xdr:colOff>
      <xdr:row>5</xdr:row>
      <xdr:rowOff>179944</xdr:rowOff>
    </xdr:to>
    <xdr:sp macro="" textlink="">
      <xdr:nvSpPr>
        <xdr:cNvPr id="25" name="TextBox 24">
          <a:extLst>
            <a:ext uri="{FF2B5EF4-FFF2-40B4-BE49-F238E27FC236}">
              <a16:creationId xmlns:a16="http://schemas.microsoft.com/office/drawing/2014/main" id="{581F1EBF-7D6D-4090-A96C-9A828C92C0A7}"/>
            </a:ext>
          </a:extLst>
        </xdr:cNvPr>
        <xdr:cNvSpPr txBox="1"/>
      </xdr:nvSpPr>
      <xdr:spPr>
        <a:xfrm>
          <a:off x="4381350" y="904866"/>
          <a:ext cx="1220380" cy="18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Patient Attend status</a:t>
          </a:r>
          <a:endParaRPr lang="en-IN" sz="800"/>
        </a:p>
      </xdr:txBody>
    </xdr:sp>
    <xdr:clientData/>
  </xdr:twoCellAnchor>
  <xdr:twoCellAnchor>
    <xdr:from>
      <xdr:col>9</xdr:col>
      <xdr:colOff>152400</xdr:colOff>
      <xdr:row>0</xdr:row>
      <xdr:rowOff>78259</xdr:rowOff>
    </xdr:from>
    <xdr:to>
      <xdr:col>11</xdr:col>
      <xdr:colOff>185351</xdr:colOff>
      <xdr:row>5</xdr:row>
      <xdr:rowOff>45308</xdr:rowOff>
    </xdr:to>
    <xdr:graphicFrame macro="">
      <xdr:nvGraphicFramePr>
        <xdr:cNvPr id="27" name="Chart 26">
          <a:extLst>
            <a:ext uri="{FF2B5EF4-FFF2-40B4-BE49-F238E27FC236}">
              <a16:creationId xmlns:a16="http://schemas.microsoft.com/office/drawing/2014/main" id="{B6193D99-E69F-44CC-8C1D-80E5DE585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145338</xdr:colOff>
      <xdr:row>4</xdr:row>
      <xdr:rowOff>177113</xdr:rowOff>
    </xdr:from>
    <xdr:to>
      <xdr:col>11</xdr:col>
      <xdr:colOff>146518</xdr:colOff>
      <xdr:row>5</xdr:row>
      <xdr:rowOff>177121</xdr:rowOff>
    </xdr:to>
    <xdr:sp macro="" textlink="">
      <xdr:nvSpPr>
        <xdr:cNvPr id="29" name="TextBox 28">
          <a:extLst>
            <a:ext uri="{FF2B5EF4-FFF2-40B4-BE49-F238E27FC236}">
              <a16:creationId xmlns:a16="http://schemas.microsoft.com/office/drawing/2014/main" id="{246932C1-8171-47C6-8876-F81F2BF718FA}"/>
            </a:ext>
          </a:extLst>
        </xdr:cNvPr>
        <xdr:cNvSpPr txBox="1"/>
      </xdr:nvSpPr>
      <xdr:spPr>
        <a:xfrm>
          <a:off x="5631738" y="902043"/>
          <a:ext cx="1220380" cy="18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Gender Wise Analysis</a:t>
          </a:r>
          <a:endParaRPr lang="en-IN" sz="800"/>
        </a:p>
      </xdr:txBody>
    </xdr:sp>
    <xdr:clientData/>
  </xdr:twoCellAnchor>
  <xdr:twoCellAnchor>
    <xdr:from>
      <xdr:col>7</xdr:col>
      <xdr:colOff>260684</xdr:colOff>
      <xdr:row>6</xdr:row>
      <xdr:rowOff>184484</xdr:rowOff>
    </xdr:from>
    <xdr:to>
      <xdr:col>10</xdr:col>
      <xdr:colOff>561474</xdr:colOff>
      <xdr:row>15</xdr:row>
      <xdr:rowOff>112296</xdr:rowOff>
    </xdr:to>
    <xdr:graphicFrame macro="">
      <xdr:nvGraphicFramePr>
        <xdr:cNvPr id="30" name="Chart 29">
          <a:extLst>
            <a:ext uri="{FF2B5EF4-FFF2-40B4-BE49-F238E27FC236}">
              <a16:creationId xmlns:a16="http://schemas.microsoft.com/office/drawing/2014/main" id="{A73083EE-F8C5-4D59-8BEB-F174F94B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7</xdr:col>
      <xdr:colOff>180474</xdr:colOff>
      <xdr:row>15</xdr:row>
      <xdr:rowOff>87042</xdr:rowOff>
    </xdr:from>
    <xdr:to>
      <xdr:col>11</xdr:col>
      <xdr:colOff>204537</xdr:colOff>
      <xdr:row>16</xdr:row>
      <xdr:rowOff>80215</xdr:rowOff>
    </xdr:to>
    <xdr:sp macro="" textlink="">
      <xdr:nvSpPr>
        <xdr:cNvPr id="31" name="TextBox 30">
          <a:extLst>
            <a:ext uri="{FF2B5EF4-FFF2-40B4-BE49-F238E27FC236}">
              <a16:creationId xmlns:a16="http://schemas.microsoft.com/office/drawing/2014/main" id="{A17FD8D7-6E30-4BAB-AB46-0CAE6E6BEE7C}"/>
            </a:ext>
          </a:extLst>
        </xdr:cNvPr>
        <xdr:cNvSpPr txBox="1"/>
      </xdr:nvSpPr>
      <xdr:spPr>
        <a:xfrm>
          <a:off x="4447674" y="2854305"/>
          <a:ext cx="2462463" cy="17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 of</a:t>
          </a:r>
          <a:r>
            <a:rPr lang="en-IN" sz="800" baseline="0"/>
            <a:t> </a:t>
          </a:r>
          <a:r>
            <a:rPr lang="en-IN" sz="800"/>
            <a:t>Patient  by Department Referral</a:t>
          </a:r>
        </a:p>
      </xdr:txBody>
    </xdr:sp>
    <xdr:clientData/>
  </xdr:twoCellAnchor>
  <xdr:twoCellAnchor editAs="oneCell">
    <xdr:from>
      <xdr:col>5</xdr:col>
      <xdr:colOff>348915</xdr:colOff>
      <xdr:row>0</xdr:row>
      <xdr:rowOff>36095</xdr:rowOff>
    </xdr:from>
    <xdr:to>
      <xdr:col>7</xdr:col>
      <xdr:colOff>44116</xdr:colOff>
      <xdr:row>2</xdr:row>
      <xdr:rowOff>40106</xdr:rowOff>
    </xdr:to>
    <mc:AlternateContent xmlns:mc="http://schemas.openxmlformats.org/markup-compatibility/2006">
      <mc:Choice xmlns:a14="http://schemas.microsoft.com/office/drawing/2010/main" Requires="a14">
        <xdr:graphicFrame macro="">
          <xdr:nvGraphicFramePr>
            <xdr:cNvPr id="32" name="Date (Year)">
              <a:extLst>
                <a:ext uri="{FF2B5EF4-FFF2-40B4-BE49-F238E27FC236}">
                  <a16:creationId xmlns:a16="http://schemas.microsoft.com/office/drawing/2014/main" id="{94C239F8-A369-4BC4-A4C0-7A77004FB39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96915" y="36095"/>
              <a:ext cx="914401" cy="37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208548</xdr:colOff>
          <xdr:row>7</xdr:row>
          <xdr:rowOff>68180</xdr:rowOff>
        </xdr:from>
        <xdr:to>
          <xdr:col>7</xdr:col>
          <xdr:colOff>52137</xdr:colOff>
          <xdr:row>9</xdr:row>
          <xdr:rowOff>84221</xdr:rowOff>
        </xdr:to>
        <xdr:pic>
          <xdr:nvPicPr>
            <xdr:cNvPr id="35" name="Picture 34">
              <a:extLst>
                <a:ext uri="{FF2B5EF4-FFF2-40B4-BE49-F238E27FC236}">
                  <a16:creationId xmlns:a16="http://schemas.microsoft.com/office/drawing/2014/main" id="{D7277D9C-D649-A8A9-22C6-6BED8AAE8044}"/>
                </a:ext>
              </a:extLst>
            </xdr:cNvPr>
            <xdr:cNvPicPr>
              <a:picLocks noChangeAspect="1" noChangeArrowheads="1"/>
              <a:extLst>
                <a:ext uri="{84589F7E-364E-4C9E-8A38-B11213B215E9}">
                  <a14:cameraTool cellRange="'Pivot Report'!$A$69:$D$71" spid="_x0000_s1030"/>
                </a:ext>
              </a:extLst>
            </xdr:cNvPicPr>
          </xdr:nvPicPr>
          <xdr:blipFill>
            <a:blip xmlns:r="http://schemas.openxmlformats.org/officeDocument/2006/relationships" r:embed="rId18"/>
            <a:srcRect/>
            <a:stretch>
              <a:fillRect/>
            </a:stretch>
          </xdr:blipFill>
          <xdr:spPr bwMode="auto">
            <a:xfrm>
              <a:off x="818148" y="1359569"/>
              <a:ext cx="3501189" cy="38501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535458</xdr:colOff>
      <xdr:row>15</xdr:row>
      <xdr:rowOff>65903</xdr:rowOff>
    </xdr:to>
    <xdr:graphicFrame macro="">
      <xdr:nvGraphicFramePr>
        <xdr:cNvPr id="2" name="Chart 1">
          <a:extLst>
            <a:ext uri="{FF2B5EF4-FFF2-40B4-BE49-F238E27FC236}">
              <a16:creationId xmlns:a16="http://schemas.microsoft.com/office/drawing/2014/main" id="{A4E7F014-1598-463F-BCC2-321B6028C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461318</xdr:colOff>
      <xdr:row>15</xdr:row>
      <xdr:rowOff>107090</xdr:rowOff>
    </xdr:from>
    <xdr:to>
      <xdr:col>10</xdr:col>
      <xdr:colOff>115329</xdr:colOff>
      <xdr:row>16</xdr:row>
      <xdr:rowOff>152398</xdr:rowOff>
    </xdr:to>
    <xdr:sp macro="" textlink="">
      <xdr:nvSpPr>
        <xdr:cNvPr id="3" name="TextBox 2">
          <a:extLst>
            <a:ext uri="{FF2B5EF4-FFF2-40B4-BE49-F238E27FC236}">
              <a16:creationId xmlns:a16="http://schemas.microsoft.com/office/drawing/2014/main" id="{EDBFF608-26F1-9266-99EA-CCF49259D7B9}"/>
            </a:ext>
          </a:extLst>
        </xdr:cNvPr>
        <xdr:cNvSpPr txBox="1"/>
      </xdr:nvSpPr>
      <xdr:spPr>
        <a:xfrm>
          <a:off x="461318" y="2825576"/>
          <a:ext cx="5750011" cy="226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Showing a daily trend with an area sparkline to spots pattern like busy days or seasonal trends.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0.94653</cdr:x>
      <cdr:y>3.59145E-7</cdr:y>
    </cdr:from>
    <cdr:to>
      <cdr:x>0.99488</cdr:x>
      <cdr:y>0.10799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4D329FC-0BE0-F1C6-D703-C8D81CC68E2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53881" y="1"/>
          <a:ext cx="350106" cy="3006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53546</xdr:colOff>
      <xdr:row>0</xdr:row>
      <xdr:rowOff>86360</xdr:rowOff>
    </xdr:from>
    <xdr:to>
      <xdr:col>15</xdr:col>
      <xdr:colOff>548640</xdr:colOff>
      <xdr:row>19</xdr:row>
      <xdr:rowOff>32952</xdr:rowOff>
    </xdr:to>
    <xdr:graphicFrame macro="">
      <xdr:nvGraphicFramePr>
        <xdr:cNvPr id="2" name="Chart 1">
          <a:extLst>
            <a:ext uri="{FF2B5EF4-FFF2-40B4-BE49-F238E27FC236}">
              <a16:creationId xmlns:a16="http://schemas.microsoft.com/office/drawing/2014/main" id="{79A453D5-3846-4E14-94D7-9B353638D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568960</xdr:colOff>
      <xdr:row>19</xdr:row>
      <xdr:rowOff>111760</xdr:rowOff>
    </xdr:from>
    <xdr:to>
      <xdr:col>13</xdr:col>
      <xdr:colOff>152400</xdr:colOff>
      <xdr:row>20</xdr:row>
      <xdr:rowOff>162560</xdr:rowOff>
    </xdr:to>
    <xdr:sp macro="" textlink="">
      <xdr:nvSpPr>
        <xdr:cNvPr id="5" name="TextBox 4">
          <a:extLst>
            <a:ext uri="{FF2B5EF4-FFF2-40B4-BE49-F238E27FC236}">
              <a16:creationId xmlns:a16="http://schemas.microsoft.com/office/drawing/2014/main" id="{57EC9EC8-CA11-C88A-BB46-95E62E509251}"/>
            </a:ext>
          </a:extLst>
        </xdr:cNvPr>
        <xdr:cNvSpPr txBox="1"/>
      </xdr:nvSpPr>
      <xdr:spPr>
        <a:xfrm>
          <a:off x="1178560" y="3586480"/>
          <a:ext cx="6898640" cy="23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Use an area sparkline to track daily changes and highest days with longer wait time that might need improvements. </a:t>
          </a:r>
        </a:p>
      </xdr:txBody>
    </xdr:sp>
    <xdr:clientData/>
  </xdr:twoCellAnchor>
  <xdr:twoCellAnchor editAs="oneCell">
    <xdr:from>
      <xdr:col>15</xdr:col>
      <xdr:colOff>162560</xdr:colOff>
      <xdr:row>0</xdr:row>
      <xdr:rowOff>101600</xdr:rowOff>
    </xdr:from>
    <xdr:to>
      <xdr:col>15</xdr:col>
      <xdr:colOff>512666</xdr:colOff>
      <xdr:row>2</xdr:row>
      <xdr:rowOff>36520</xdr:rowOff>
    </xdr:to>
    <xdr:pic>
      <xdr:nvPicPr>
        <xdr:cNvPr id="6" name="Graphic 1" descr="Home with solid fill">
          <a:hlinkClick xmlns:r="http://schemas.openxmlformats.org/officeDocument/2006/relationships" r:id="rId2"/>
          <a:extLst>
            <a:ext uri="{FF2B5EF4-FFF2-40B4-BE49-F238E27FC236}">
              <a16:creationId xmlns:a16="http://schemas.microsoft.com/office/drawing/2014/main" id="{82D2DB74-DC0F-6E0D-C324-CA21FDF64C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06560" y="101600"/>
          <a:ext cx="350106" cy="3006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16474</xdr:colOff>
      <xdr:row>0</xdr:row>
      <xdr:rowOff>57663</xdr:rowOff>
    </xdr:from>
    <xdr:to>
      <xdr:col>14</xdr:col>
      <xdr:colOff>408039</xdr:colOff>
      <xdr:row>18</xdr:row>
      <xdr:rowOff>58992</xdr:rowOff>
    </xdr:to>
    <xdr:graphicFrame macro="">
      <xdr:nvGraphicFramePr>
        <xdr:cNvPr id="2" name="Chart 1">
          <a:extLst>
            <a:ext uri="{FF2B5EF4-FFF2-40B4-BE49-F238E27FC236}">
              <a16:creationId xmlns:a16="http://schemas.microsoft.com/office/drawing/2014/main" id="{69E887B8-03E2-4846-978F-1AA09D8A3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535858</xdr:colOff>
      <xdr:row>18</xdr:row>
      <xdr:rowOff>113071</xdr:rowOff>
    </xdr:from>
    <xdr:to>
      <xdr:col>10</xdr:col>
      <xdr:colOff>270387</xdr:colOff>
      <xdr:row>19</xdr:row>
      <xdr:rowOff>152400</xdr:rowOff>
    </xdr:to>
    <xdr:sp macro="" textlink="">
      <xdr:nvSpPr>
        <xdr:cNvPr id="4" name="TextBox 3">
          <a:extLst>
            <a:ext uri="{FF2B5EF4-FFF2-40B4-BE49-F238E27FC236}">
              <a16:creationId xmlns:a16="http://schemas.microsoft.com/office/drawing/2014/main" id="{43A6C97C-5EA5-4F62-F3B7-A465163D43DA}"/>
            </a:ext>
          </a:extLst>
        </xdr:cNvPr>
        <xdr:cNvSpPr txBox="1"/>
      </xdr:nvSpPr>
      <xdr:spPr>
        <a:xfrm>
          <a:off x="2974258" y="3387213"/>
          <a:ext cx="3392129" cy="221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Use an area sparkline to show trends, Spot drops</a:t>
          </a:r>
          <a:r>
            <a:rPr lang="en-IN" sz="1000" baseline="0"/>
            <a:t> in satisfaction </a:t>
          </a:r>
          <a:endParaRPr lang="en-IN" sz="10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0.95796</cdr:x>
      <cdr:y>0.01551</cdr:y>
    </cdr:from>
    <cdr:to>
      <cdr:x>0.99719</cdr:x>
      <cdr:y>0.10731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923BC37-629C-08B6-5819-627B313DE16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550743" y="50800"/>
          <a:ext cx="350106" cy="3006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89998958334" backgroundQuery="1" createdVersion="8" refreshedVersion="8" minRefreshableVersion="3" recordCount="0" supportSubquery="1" supportAdvancedDrill="1" xr:uid="{A7CF2E6F-2C53-4936-925A-5C8191AB23B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89999537035" backgroundQuery="1" createdVersion="8" refreshedVersion="8" minRefreshableVersion="3" recordCount="0" supportSubquery="1" supportAdvancedDrill="1" xr:uid="{45C9DE43-BFCB-420A-A864-BF40B0B60496}">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0231481" backgroundQuery="1" createdVersion="8" refreshedVersion="8" minRefreshableVersion="3" recordCount="0" supportSubquery="1" supportAdvancedDrill="1" xr:uid="{E4C261AD-77F3-4355-B0A2-D9D0C6F5EDC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1273151" backgroundQuery="1" createdVersion="8" refreshedVersion="8" minRefreshableVersion="3" recordCount="0" supportSubquery="1" supportAdvancedDrill="1" xr:uid="{0863AE5F-DEB0-4777-90A3-83B80EDB4AE2}">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2083336" backgroundQuery="1" createdVersion="8" refreshedVersion="8" minRefreshableVersion="3" recordCount="0" supportSubquery="1" supportAdvancedDrill="1" xr:uid="{2C0C7AD3-9D9A-41F6-9081-CC7D62DF70D3}">
  <cacheSource type="external" connectionId="3"/>
  <cacheFields count="4">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300926" backgroundQuery="1" createdVersion="8" refreshedVersion="8" minRefreshableVersion="3" recordCount="0" supportSubquery="1" supportAdvancedDrill="1" xr:uid="{5F943F43-7D78-4B68-9B31-10B665D34934}">
  <cacheSource type="external" connectionId="3"/>
  <cacheFields count="4">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405093" backgroundQuery="1" createdVersion="8" refreshedVersion="8" minRefreshableVersion="3" recordCount="0" supportSubquery="1" supportAdvancedDrill="1" xr:uid="{BABCDF24-2211-4B76-BCE4-251EF7FDC92F}">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4861115" backgroundQuery="1" createdVersion="8" refreshedVersion="8" minRefreshableVersion="3" recordCount="0" supportSubquery="1" supportAdvancedDrill="1" xr:uid="{4BC5932B-A76B-4AD0-8ACD-DD736258FF2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5787039" backgroundQuery="1" createdVersion="8" refreshedVersion="8" minRefreshableVersion="3" recordCount="0" supportSubquery="1" supportAdvancedDrill="1" xr:uid="{8C44636E-7D5A-403A-82F3-8108F06691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6481485" backgroundQuery="1" createdVersion="8" refreshedVersion="8" minRefreshableVersion="3" recordCount="0" supportSubquery="1" supportAdvancedDrill="1" xr:uid="{3574D30B-752F-46D1-8BC0-90BF31ACA169}">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7523148" backgroundQuery="1" createdVersion="8" refreshedVersion="8" minRefreshableVersion="3" recordCount="0" supportSubquery="1" supportAdvancedDrill="1" xr:uid="{0DFA8A1E-A185-4F28-B986-2AE07D058A8E}">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90008333333" backgroundQuery="1" createdVersion="8" refreshedVersion="8" minRefreshableVersion="3" recordCount="0" supportSubquery="1" supportAdvancedDrill="1" xr:uid="{13A49DAB-80FB-4333-AA8C-F60970B5F81F}">
  <cacheSource type="external" connectionId="3"/>
  <cacheFields count="5">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Measures].[Count of Patient Admission Flag]" caption="Count of Patient Admission Flag" numFmtId="0" hierarchy="34" level="32767"/>
    <cacheField name="[Hospital Emergency Room Data].[Patient Admission Flag].[Patient Admission Flag]" caption="Patient Admission Flag" numFmtId="0" hierarchy="13" level="1">
      <sharedItems count="2">
        <s v="Admitted"/>
        <s v="Not Admitted"/>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Bansal" refreshedDate="46243.054967824071" backgroundQuery="1" createdVersion="3" refreshedVersion="8" minRefreshableVersion="3" recordCount="0" supportSubquery="1" supportAdvancedDrill="1" xr:uid="{4D0506E4-2060-40CF-A1C8-956DFFC88CE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23316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53D72-7528-47F9-B77C-61145DE6AA67}" name="PivotTable14" cacheId="2566"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6">
  <location ref="A63:C66"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22">
      <pivotArea outline="0" collapsedLevelsAreSubtotals="1" fieldPosition="0"/>
    </format>
    <format dxfId="221">
      <pivotArea outline="0" fieldPosition="0">
        <references count="1">
          <reference field="4294967294" count="1">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2A1A4-DAAF-4CC2-B55A-A43E1999687A}" name="PivotTable13" cacheId="2563"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3">
  <location ref="A56:A5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3">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D0E9D-7A50-492D-8C31-D4D4164575EE}" name="PivotTable12" cacheId="2560"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14">
  <location ref="D49:E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1">
    <format dxfId="224">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951FF0-4EEE-46C9-AF6B-7CDE44268771}" name="PivotTable11" cacheId="2557"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17">
  <location ref="G42:H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25">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2B4E6-8EE6-46A6-9145-BD5A44EC71A6}" name="PivotTable10" cacheId="2554"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11">
  <location ref="D42:E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226">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B9577-3712-4A23-8CDF-8D87209C3555}" name="PivotTable8" cacheId="2551"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chartFormat="3">
  <location ref="A42:B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D03B74-BCB1-4328-802F-1CB3073E4905}" name="PivotTable7" cacheId="2548" applyNumberFormats="0" applyBorderFormats="0" applyFontFormats="0" applyPatternFormats="0" applyAlignmentFormats="0" applyWidthHeightFormats="1" dataCaption="Values" tag="f50f40b9-e87d-47e7-b3d9-5f599b5055e7" updatedVersion="8" minRefreshableVersion="3" useAutoFormatting="1" itemPrintTitles="1" createdVersion="8" indent="0" outline="1" outlineData="1" multipleFieldFilters="0" chartFormat="30">
  <location ref="I4:J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28">
      <pivotArea collapsedLevelsAreSubtotals="1" fieldPosition="0">
        <references count="1">
          <reference field="0" count="1">
            <x v="31"/>
          </reference>
        </references>
      </pivotArea>
    </format>
    <format dxfId="229">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AB3B18-FA18-4A4F-88AF-17A4069F40D2}" name="PivotTable6" cacheId="2545" applyNumberFormats="0" applyBorderFormats="0" applyFontFormats="0" applyPatternFormats="0" applyAlignmentFormats="0" applyWidthHeightFormats="1" dataCaption="Values" tag="f50f40b9-e87d-47e7-b3d9-5f599b5055e7" updatedVersion="8" minRefreshableVersion="3" useAutoFormatting="1" itemPrintTitles="1" createdVersion="8" indent="0" outline="1" outlineData="1" multipleFieldFilters="0" chartFormat="22">
  <location ref="F4:G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231">
      <pivotArea collapsedLevelsAreSubtotals="1" fieldPosition="0">
        <references count="1">
          <reference field="0" count="1">
            <x v="31"/>
          </reference>
        </references>
      </pivotArea>
    </format>
    <format dxfId="230">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478C1A-1CE5-48B7-B9CA-7B5C408DED93}" name="PivotTable5" cacheId="2533" applyNumberFormats="0" applyBorderFormats="0" applyFontFormats="0" applyPatternFormats="0" applyAlignmentFormats="0" applyWidthHeightFormats="1" dataCaption="Values" tag="f50f40b9-e87d-47e7-b3d9-5f599b5055e7" updatedVersion="8" minRefreshableVersion="3" useAutoFormatting="1" itemPrintTitles="1" createdVersion="8" indent="0" outline="1" outlineData="1" multipleFieldFilters="0" chartFormat="11">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BA2C0E-43A1-4F28-B4C4-9EE42F1AC441}" name="PivotTable4" cacheId="2542" applyNumberFormats="0" applyBorderFormats="0" applyFontFormats="0" applyPatternFormats="0" applyAlignmentFormats="0" applyWidthHeightFormats="1" dataCaption="Values" tag="de9b7777-ab0e-4c04-93c5-a9808d4bde8c" updatedVersion="8" minRefreshableVersion="3" useAutoFormatting="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2">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F4AF64-9BB5-4056-8F9E-37347F72B160}" name="PivotTable3" cacheId="2539" applyNumberFormats="0" applyBorderFormats="0" applyFontFormats="0" applyPatternFormats="0" applyAlignmentFormats="0" applyWidthHeightFormats="1" dataCaption="Values" tag="69e77281-777b-411c-8c96-e568412d58fc" updatedVersion="8" minRefreshableVersion="3" useAutoFormatting="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3">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4CD5BE-4E22-4268-99DE-A64965D60212}" name="PivotTable2" cacheId="2536" applyNumberFormats="0" applyBorderFormats="0" applyFontFormats="0" applyPatternFormats="0" applyAlignmentFormats="0" applyWidthHeightFormats="1" dataCaption="Values" tag="c3a11b89-d390-4788-9e63-ac6a18a7c09a"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FFA2654-8ED4-4C35-9C7E-A145E06D5422}" sourceName="[Calendar_Table].[Date (Month)]">
  <pivotTables>
    <pivotTable tabId="1" name="PivotTable5"/>
    <pivotTable tabId="1" name="PivotTable2"/>
    <pivotTable tabId="1" name="PivotTable3"/>
    <pivotTable tabId="1" name="PivotTable4"/>
    <pivotTable tabId="1" name="PivotTable6"/>
    <pivotTable tabId="1" name="PivotTable7"/>
    <pivotTable tabId="1" name="PivotTable8"/>
    <pivotTable tabId="1" name="PivotTable10"/>
    <pivotTable tabId="1" name="PivotTable11"/>
    <pivotTable tabId="1" name="PivotTable12"/>
    <pivotTable tabId="1" name="PivotTable13"/>
    <pivotTable tabId="1" name="PivotTable14"/>
  </pivotTables>
  <data>
    <olap pivotCacheId="117233163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BD41108-A3EF-4E0B-A794-A1FEC124E765}" sourceName="[Calendar_Table].[Date (Year)]">
  <pivotTables>
    <pivotTable tabId="1" name="PivotTable13"/>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14"/>
  </pivotTables>
  <data>
    <olap pivotCacheId="117233163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39CD012-3DF4-4AE3-A1FA-00900D24D619}" cache="Slicer_Date__Month" caption="Date (Month)" showCaption="0" level="1" style="SlicerStyleDark2 2" rowHeight="162000"/>
  <slicer name="Date (Year)" xr10:uid="{11CF45B0-D564-4789-A715-1D3C4C4E80F3}" cache="Slicer_Date__Year" caption="Date (Year)" columnCount="2" showCaption="0" level="1" style="SlicerStyleDark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0DE6-AE01-4D9C-AFFE-D5F71F5B2003}">
  <dimension ref="A3:P71"/>
  <sheetViews>
    <sheetView tabSelected="1" workbookViewId="0">
      <selection activeCell="A63" sqref="A63"/>
    </sheetView>
  </sheetViews>
  <sheetFormatPr defaultRowHeight="14.4" x14ac:dyDescent="0.3"/>
  <cols>
    <col min="1" max="1" width="14.77734375" customWidth="1"/>
    <col min="2" max="2" width="27.44140625" bestFit="1" customWidth="1"/>
    <col min="3" max="3" width="20.33203125" customWidth="1"/>
    <col min="4" max="4" width="14.88671875" bestFit="1" customWidth="1"/>
    <col min="5" max="5" width="25.44140625" bestFit="1" customWidth="1"/>
    <col min="6" max="7" width="12.44140625" bestFit="1" customWidth="1"/>
    <col min="8" max="8" width="20.77734375" bestFit="1" customWidth="1"/>
    <col min="9" max="9" width="12.44140625" bestFit="1" customWidth="1"/>
    <col min="10" max="10" width="31.77734375" bestFit="1" customWidth="1"/>
    <col min="11" max="11" width="28.88671875" bestFit="1" customWidth="1"/>
  </cols>
  <sheetData>
    <row r="3" spans="1:14" x14ac:dyDescent="0.3">
      <c r="A3" t="s">
        <v>5</v>
      </c>
      <c r="C3" t="s">
        <v>37</v>
      </c>
      <c r="F3" t="s">
        <v>38</v>
      </c>
      <c r="I3" t="s">
        <v>39</v>
      </c>
    </row>
    <row r="4" spans="1:14" x14ac:dyDescent="0.3">
      <c r="A4" t="s">
        <v>2</v>
      </c>
      <c r="C4" s="1" t="s">
        <v>0</v>
      </c>
      <c r="D4" t="s">
        <v>2</v>
      </c>
      <c r="F4" s="1" t="s">
        <v>0</v>
      </c>
      <c r="G4" t="s">
        <v>3</v>
      </c>
      <c r="I4" s="1" t="s">
        <v>0</v>
      </c>
      <c r="J4" t="s">
        <v>4</v>
      </c>
    </row>
    <row r="5" spans="1:14" x14ac:dyDescent="0.3">
      <c r="A5" s="5">
        <v>999</v>
      </c>
      <c r="C5" s="2" t="s">
        <v>6</v>
      </c>
      <c r="D5" s="5">
        <v>14</v>
      </c>
      <c r="F5" s="2" t="s">
        <v>6</v>
      </c>
      <c r="G5" s="3">
        <v>35.642857142857146</v>
      </c>
      <c r="I5" s="2" t="s">
        <v>6</v>
      </c>
      <c r="J5" s="3">
        <v>7.4</v>
      </c>
    </row>
    <row r="6" spans="1:14" x14ac:dyDescent="0.3">
      <c r="C6" s="2" t="s">
        <v>7</v>
      </c>
      <c r="D6" s="5">
        <v>21</v>
      </c>
      <c r="F6" s="2" t="s">
        <v>7</v>
      </c>
      <c r="G6" s="3">
        <v>27</v>
      </c>
      <c r="I6" s="2" t="s">
        <v>7</v>
      </c>
      <c r="J6" s="3">
        <v>5.6</v>
      </c>
    </row>
    <row r="7" spans="1:14" x14ac:dyDescent="0.3">
      <c r="C7" s="2" t="s">
        <v>8</v>
      </c>
      <c r="D7" s="5">
        <v>21</v>
      </c>
      <c r="F7" s="2" t="s">
        <v>8</v>
      </c>
      <c r="G7" s="3">
        <v>36.047619047619051</v>
      </c>
      <c r="I7" s="2" t="s">
        <v>8</v>
      </c>
      <c r="J7" s="3">
        <v>6.7142857142857144</v>
      </c>
    </row>
    <row r="8" spans="1:14" x14ac:dyDescent="0.3">
      <c r="C8" s="2" t="s">
        <v>9</v>
      </c>
      <c r="D8" s="5">
        <v>15</v>
      </c>
      <c r="F8" s="2" t="s">
        <v>9</v>
      </c>
      <c r="G8" s="3">
        <v>38.866666666666667</v>
      </c>
      <c r="I8" s="2" t="s">
        <v>9</v>
      </c>
      <c r="J8" s="3">
        <v>6</v>
      </c>
    </row>
    <row r="9" spans="1:14" x14ac:dyDescent="0.3">
      <c r="A9" t="s">
        <v>3</v>
      </c>
      <c r="C9" s="2" t="s">
        <v>10</v>
      </c>
      <c r="D9" s="5">
        <v>11</v>
      </c>
      <c r="F9" s="2" t="s">
        <v>10</v>
      </c>
      <c r="G9" s="3">
        <v>35.909090909090907</v>
      </c>
      <c r="I9" s="2" t="s">
        <v>10</v>
      </c>
      <c r="J9" s="3">
        <v>4</v>
      </c>
    </row>
    <row r="10" spans="1:14" x14ac:dyDescent="0.3">
      <c r="A10" s="3">
        <v>35.809248554913296</v>
      </c>
      <c r="C10" s="2" t="s">
        <v>11</v>
      </c>
      <c r="D10" s="5">
        <v>17</v>
      </c>
      <c r="F10" s="2" t="s">
        <v>11</v>
      </c>
      <c r="G10" s="3">
        <v>38.470588235294116</v>
      </c>
      <c r="I10" s="2" t="s">
        <v>11</v>
      </c>
      <c r="J10" s="3">
        <v>4.7142857142857144</v>
      </c>
    </row>
    <row r="11" spans="1:14" x14ac:dyDescent="0.3">
      <c r="C11" s="2" t="s">
        <v>12</v>
      </c>
      <c r="D11" s="5">
        <v>15</v>
      </c>
      <c r="F11" s="2" t="s">
        <v>12</v>
      </c>
      <c r="G11" s="3">
        <v>36.733333333333334</v>
      </c>
      <c r="I11" s="2" t="s">
        <v>12</v>
      </c>
      <c r="J11" s="3">
        <v>1.8</v>
      </c>
      <c r="N11" s="5"/>
    </row>
    <row r="12" spans="1:14" x14ac:dyDescent="0.3">
      <c r="C12" s="2" t="s">
        <v>13</v>
      </c>
      <c r="D12" s="5">
        <v>17</v>
      </c>
      <c r="F12" s="2" t="s">
        <v>13</v>
      </c>
      <c r="G12" s="3">
        <v>34.588235294117645</v>
      </c>
      <c r="I12" s="2" t="s">
        <v>13</v>
      </c>
      <c r="J12" s="3">
        <v>4.833333333333333</v>
      </c>
      <c r="N12" s="5"/>
    </row>
    <row r="13" spans="1:14" x14ac:dyDescent="0.3">
      <c r="C13" s="2" t="s">
        <v>14</v>
      </c>
      <c r="D13" s="5">
        <v>13</v>
      </c>
      <c r="F13" s="2" t="s">
        <v>14</v>
      </c>
      <c r="G13" s="3">
        <v>37.53846153846154</v>
      </c>
      <c r="I13" s="2" t="s">
        <v>14</v>
      </c>
      <c r="J13" s="3">
        <v>4.25</v>
      </c>
      <c r="N13" s="5"/>
    </row>
    <row r="14" spans="1:14" x14ac:dyDescent="0.3">
      <c r="C14" s="2" t="s">
        <v>15</v>
      </c>
      <c r="D14" s="5">
        <v>24</v>
      </c>
      <c r="F14" s="2" t="s">
        <v>15</v>
      </c>
      <c r="G14" s="3">
        <v>31.708333333333332</v>
      </c>
      <c r="I14" s="2" t="s">
        <v>15</v>
      </c>
      <c r="J14" s="3">
        <v>4.5999999999999996</v>
      </c>
      <c r="N14" s="5"/>
    </row>
    <row r="15" spans="1:14" x14ac:dyDescent="0.3">
      <c r="A15" t="s">
        <v>4</v>
      </c>
      <c r="C15" s="2" t="s">
        <v>16</v>
      </c>
      <c r="D15" s="5">
        <v>13</v>
      </c>
      <c r="F15" s="2" t="s">
        <v>16</v>
      </c>
      <c r="G15" s="3">
        <v>28.923076923076923</v>
      </c>
      <c r="I15" s="2" t="s">
        <v>16</v>
      </c>
      <c r="J15" s="3">
        <v>6.5</v>
      </c>
      <c r="N15" s="5"/>
    </row>
    <row r="16" spans="1:14" x14ac:dyDescent="0.3">
      <c r="A16" s="3">
        <v>5.1455696202531644</v>
      </c>
      <c r="C16" s="2" t="s">
        <v>17</v>
      </c>
      <c r="D16" s="5">
        <v>14</v>
      </c>
      <c r="F16" s="2" t="s">
        <v>17</v>
      </c>
      <c r="G16" s="3">
        <v>42.071428571428569</v>
      </c>
      <c r="I16" s="2" t="s">
        <v>17</v>
      </c>
      <c r="J16" s="3">
        <v>5</v>
      </c>
    </row>
    <row r="17" spans="3:16" x14ac:dyDescent="0.3">
      <c r="C17" s="2" t="s">
        <v>18</v>
      </c>
      <c r="D17" s="5">
        <v>12</v>
      </c>
      <c r="F17" s="2" t="s">
        <v>18</v>
      </c>
      <c r="G17" s="3">
        <v>35.833333333333336</v>
      </c>
      <c r="I17" s="2" t="s">
        <v>18</v>
      </c>
      <c r="J17" s="3">
        <v>6</v>
      </c>
    </row>
    <row r="18" spans="3:16" x14ac:dyDescent="0.3">
      <c r="C18" s="2" t="s">
        <v>19</v>
      </c>
      <c r="D18" s="5">
        <v>11</v>
      </c>
      <c r="F18" s="2" t="s">
        <v>19</v>
      </c>
      <c r="G18" s="3">
        <v>28.727272727272727</v>
      </c>
      <c r="I18" s="2" t="s">
        <v>19</v>
      </c>
      <c r="J18" s="3">
        <v>4.7142857142857144</v>
      </c>
    </row>
    <row r="19" spans="3:16" x14ac:dyDescent="0.3">
      <c r="C19" s="2" t="s">
        <v>20</v>
      </c>
      <c r="D19" s="5">
        <v>16</v>
      </c>
      <c r="F19" s="2" t="s">
        <v>20</v>
      </c>
      <c r="G19" s="3">
        <v>35.75</v>
      </c>
      <c r="I19" s="2" t="s">
        <v>20</v>
      </c>
      <c r="J19" s="3">
        <v>4.2</v>
      </c>
      <c r="N19" s="7"/>
      <c r="O19" s="7"/>
    </row>
    <row r="20" spans="3:16" x14ac:dyDescent="0.3">
      <c r="C20" s="2" t="s">
        <v>21</v>
      </c>
      <c r="D20" s="5">
        <v>20</v>
      </c>
      <c r="F20" s="2" t="s">
        <v>21</v>
      </c>
      <c r="G20" s="3">
        <v>34.75</v>
      </c>
      <c r="I20" s="2" t="s">
        <v>21</v>
      </c>
      <c r="J20" s="3">
        <v>7.2</v>
      </c>
      <c r="N20" s="8"/>
      <c r="O20" s="8"/>
      <c r="P20" s="8"/>
    </row>
    <row r="21" spans="3:16" x14ac:dyDescent="0.3">
      <c r="C21" s="2" t="s">
        <v>22</v>
      </c>
      <c r="D21" s="5">
        <v>15</v>
      </c>
      <c r="F21" s="2" t="s">
        <v>22</v>
      </c>
      <c r="G21" s="3">
        <v>37.666666666666664</v>
      </c>
      <c r="I21" s="2" t="s">
        <v>22</v>
      </c>
      <c r="J21" s="3">
        <v>4.333333333333333</v>
      </c>
      <c r="N21" s="8"/>
      <c r="O21" s="8"/>
      <c r="P21" s="8"/>
    </row>
    <row r="22" spans="3:16" x14ac:dyDescent="0.3">
      <c r="C22" s="2" t="s">
        <v>23</v>
      </c>
      <c r="D22" s="5">
        <v>19</v>
      </c>
      <c r="F22" s="2" t="s">
        <v>23</v>
      </c>
      <c r="G22" s="3">
        <v>40.421052631578945</v>
      </c>
      <c r="I22" s="2" t="s">
        <v>23</v>
      </c>
      <c r="J22" s="3">
        <v>3.7777777777777777</v>
      </c>
    </row>
    <row r="23" spans="3:16" x14ac:dyDescent="0.3">
      <c r="C23" s="2" t="s">
        <v>24</v>
      </c>
      <c r="D23" s="5">
        <v>16</v>
      </c>
      <c r="F23" s="2" t="s">
        <v>24</v>
      </c>
      <c r="G23" s="3">
        <v>33.75</v>
      </c>
      <c r="I23" s="2" t="s">
        <v>24</v>
      </c>
      <c r="J23" s="3">
        <v>3.6666666666666665</v>
      </c>
    </row>
    <row r="24" spans="3:16" x14ac:dyDescent="0.3">
      <c r="C24" s="2" t="s">
        <v>25</v>
      </c>
      <c r="D24" s="5">
        <v>17</v>
      </c>
      <c r="F24" s="2" t="s">
        <v>25</v>
      </c>
      <c r="G24" s="3">
        <v>32.764705882352942</v>
      </c>
      <c r="I24" s="2" t="s">
        <v>25</v>
      </c>
      <c r="J24" s="3">
        <v>4</v>
      </c>
    </row>
    <row r="25" spans="3:16" x14ac:dyDescent="0.3">
      <c r="C25" s="2" t="s">
        <v>26</v>
      </c>
      <c r="D25" s="5">
        <v>28</v>
      </c>
      <c r="F25" s="2" t="s">
        <v>26</v>
      </c>
      <c r="G25" s="3">
        <v>37.357142857142854</v>
      </c>
      <c r="I25" s="2" t="s">
        <v>26</v>
      </c>
      <c r="J25" s="3">
        <v>5.833333333333333</v>
      </c>
    </row>
    <row r="26" spans="3:16" x14ac:dyDescent="0.3">
      <c r="C26" s="2" t="s">
        <v>27</v>
      </c>
      <c r="D26" s="5">
        <v>22</v>
      </c>
      <c r="F26" s="2" t="s">
        <v>27</v>
      </c>
      <c r="G26" s="3">
        <v>37.227272727272727</v>
      </c>
      <c r="I26" s="2" t="s">
        <v>27</v>
      </c>
      <c r="J26" s="3">
        <v>5.666666666666667</v>
      </c>
    </row>
    <row r="27" spans="3:16" x14ac:dyDescent="0.3">
      <c r="C27" s="2" t="s">
        <v>28</v>
      </c>
      <c r="D27" s="5">
        <v>20</v>
      </c>
      <c r="F27" s="2" t="s">
        <v>28</v>
      </c>
      <c r="G27" s="3">
        <v>36.700000000000003</v>
      </c>
      <c r="I27" s="2" t="s">
        <v>28</v>
      </c>
      <c r="J27" s="3">
        <v>5.5</v>
      </c>
    </row>
    <row r="28" spans="3:16" x14ac:dyDescent="0.3">
      <c r="C28" s="2" t="s">
        <v>29</v>
      </c>
      <c r="D28" s="5">
        <v>17</v>
      </c>
      <c r="F28" s="2" t="s">
        <v>29</v>
      </c>
      <c r="G28" s="3">
        <v>43.058823529411768</v>
      </c>
      <c r="I28" s="2" t="s">
        <v>29</v>
      </c>
      <c r="J28" s="3">
        <v>5.5</v>
      </c>
    </row>
    <row r="29" spans="3:16" x14ac:dyDescent="0.3">
      <c r="C29" s="2" t="s">
        <v>30</v>
      </c>
      <c r="D29" s="5">
        <v>18</v>
      </c>
      <c r="F29" s="2" t="s">
        <v>30</v>
      </c>
      <c r="G29" s="3">
        <v>39.777777777777779</v>
      </c>
      <c r="I29" s="2" t="s">
        <v>30</v>
      </c>
      <c r="J29" s="3">
        <v>7</v>
      </c>
    </row>
    <row r="30" spans="3:16" x14ac:dyDescent="0.3">
      <c r="C30" s="2" t="s">
        <v>31</v>
      </c>
      <c r="D30" s="5">
        <v>13</v>
      </c>
      <c r="F30" s="2" t="s">
        <v>31</v>
      </c>
      <c r="G30" s="3">
        <v>40.692307692307693</v>
      </c>
      <c r="I30" s="2" t="s">
        <v>31</v>
      </c>
      <c r="J30" s="3">
        <v>7</v>
      </c>
    </row>
    <row r="31" spans="3:16" x14ac:dyDescent="0.3">
      <c r="C31" s="2" t="s">
        <v>32</v>
      </c>
      <c r="D31" s="5">
        <v>13</v>
      </c>
      <c r="F31" s="2" t="s">
        <v>32</v>
      </c>
      <c r="G31" s="3">
        <v>34.46153846153846</v>
      </c>
      <c r="I31" s="2" t="s">
        <v>32</v>
      </c>
      <c r="J31" s="3">
        <v>4</v>
      </c>
    </row>
    <row r="32" spans="3:16" x14ac:dyDescent="0.3">
      <c r="C32" s="2" t="s">
        <v>33</v>
      </c>
      <c r="D32" s="5">
        <v>13</v>
      </c>
      <c r="F32" s="2" t="s">
        <v>33</v>
      </c>
      <c r="G32" s="3">
        <v>30.307692307692307</v>
      </c>
      <c r="I32" s="2" t="s">
        <v>33</v>
      </c>
      <c r="J32" s="3">
        <v>4.4444444444444446</v>
      </c>
    </row>
    <row r="33" spans="1:10" x14ac:dyDescent="0.3">
      <c r="C33" s="2" t="s">
        <v>34</v>
      </c>
      <c r="D33" s="5">
        <v>20</v>
      </c>
      <c r="F33" s="2" t="s">
        <v>34</v>
      </c>
      <c r="G33" s="3">
        <v>38.5</v>
      </c>
      <c r="I33" s="2" t="s">
        <v>34</v>
      </c>
      <c r="J33" s="3">
        <v>4.8571428571428568</v>
      </c>
    </row>
    <row r="34" spans="1:10" x14ac:dyDescent="0.3">
      <c r="C34" s="2" t="s">
        <v>35</v>
      </c>
      <c r="D34" s="5">
        <v>15</v>
      </c>
      <c r="F34" s="2" t="s">
        <v>35</v>
      </c>
      <c r="G34" s="3">
        <v>35.333333333333336</v>
      </c>
      <c r="I34" s="2" t="s">
        <v>35</v>
      </c>
      <c r="J34" s="3">
        <v>5.5714285714285712</v>
      </c>
    </row>
    <row r="35" spans="1:10" x14ac:dyDescent="0.3">
      <c r="C35" s="2" t="s">
        <v>36</v>
      </c>
      <c r="D35" s="5">
        <v>19</v>
      </c>
      <c r="F35" s="2" t="s">
        <v>36</v>
      </c>
      <c r="G35" s="3">
        <v>32.421052631578945</v>
      </c>
      <c r="I35" s="2" t="s">
        <v>36</v>
      </c>
      <c r="J35" s="3">
        <v>6</v>
      </c>
    </row>
    <row r="36" spans="1:10" x14ac:dyDescent="0.3">
      <c r="C36" s="2" t="s">
        <v>1</v>
      </c>
      <c r="D36" s="5">
        <v>519</v>
      </c>
      <c r="F36" s="2" t="s">
        <v>1</v>
      </c>
      <c r="G36" s="3">
        <v>35.809248554913296</v>
      </c>
      <c r="I36" s="2" t="s">
        <v>1</v>
      </c>
      <c r="J36" s="3">
        <v>5.1455696202531644</v>
      </c>
    </row>
    <row r="41" spans="1:10" x14ac:dyDescent="0.3">
      <c r="A41" t="s">
        <v>49</v>
      </c>
      <c r="D41" t="s">
        <v>53</v>
      </c>
      <c r="G41" t="s">
        <v>54</v>
      </c>
    </row>
    <row r="42" spans="1:10" x14ac:dyDescent="0.3">
      <c r="A42" s="1" t="s">
        <v>0</v>
      </c>
      <c r="B42" t="s">
        <v>48</v>
      </c>
      <c r="D42" s="1" t="s">
        <v>0</v>
      </c>
      <c r="E42" t="s">
        <v>52</v>
      </c>
      <c r="G42" s="1" t="s">
        <v>0</v>
      </c>
      <c r="H42" t="s">
        <v>57</v>
      </c>
    </row>
    <row r="43" spans="1:10" x14ac:dyDescent="0.3">
      <c r="A43" s="2" t="s">
        <v>40</v>
      </c>
      <c r="B43" s="3">
        <v>73</v>
      </c>
      <c r="D43" s="2" t="s">
        <v>51</v>
      </c>
      <c r="E43" s="9">
        <v>324</v>
      </c>
      <c r="G43" s="2" t="s">
        <v>55</v>
      </c>
      <c r="H43" s="9">
        <v>254</v>
      </c>
    </row>
    <row r="44" spans="1:10" x14ac:dyDescent="0.3">
      <c r="A44" s="2" t="s">
        <v>41</v>
      </c>
      <c r="B44" s="3">
        <v>64</v>
      </c>
      <c r="D44" s="2" t="s">
        <v>50</v>
      </c>
      <c r="E44" s="9">
        <v>195</v>
      </c>
      <c r="G44" s="2" t="s">
        <v>56</v>
      </c>
      <c r="H44" s="9">
        <v>265</v>
      </c>
    </row>
    <row r="45" spans="1:10" x14ac:dyDescent="0.3">
      <c r="A45" s="2" t="s">
        <v>42</v>
      </c>
      <c r="B45" s="3">
        <v>74</v>
      </c>
      <c r="D45" s="2" t="s">
        <v>1</v>
      </c>
      <c r="E45" s="9">
        <v>519</v>
      </c>
      <c r="G45" s="2" t="s">
        <v>1</v>
      </c>
      <c r="H45" s="9">
        <v>519</v>
      </c>
    </row>
    <row r="46" spans="1:10" x14ac:dyDescent="0.3">
      <c r="A46" s="2" t="s">
        <v>43</v>
      </c>
      <c r="B46" s="3">
        <v>71</v>
      </c>
    </row>
    <row r="47" spans="1:10" x14ac:dyDescent="0.3">
      <c r="A47" s="2" t="s">
        <v>44</v>
      </c>
      <c r="B47" s="3">
        <v>58</v>
      </c>
    </row>
    <row r="48" spans="1:10" x14ac:dyDescent="0.3">
      <c r="A48" s="2" t="s">
        <v>45</v>
      </c>
      <c r="B48" s="3">
        <v>68</v>
      </c>
      <c r="D48" s="2" t="s">
        <v>67</v>
      </c>
    </row>
    <row r="49" spans="1:5" x14ac:dyDescent="0.3">
      <c r="A49" s="2" t="s">
        <v>46</v>
      </c>
      <c r="B49" s="3">
        <v>62</v>
      </c>
      <c r="D49" s="1" t="s">
        <v>0</v>
      </c>
      <c r="E49" t="s">
        <v>66</v>
      </c>
    </row>
    <row r="50" spans="1:5" x14ac:dyDescent="0.3">
      <c r="A50" s="2" t="s">
        <v>47</v>
      </c>
      <c r="B50" s="3">
        <v>49</v>
      </c>
      <c r="D50" s="2" t="s">
        <v>65</v>
      </c>
      <c r="E50" s="9">
        <v>3</v>
      </c>
    </row>
    <row r="51" spans="1:5" x14ac:dyDescent="0.3">
      <c r="A51" s="2" t="s">
        <v>1</v>
      </c>
      <c r="B51" s="3">
        <v>519</v>
      </c>
      <c r="D51" s="2" t="s">
        <v>59</v>
      </c>
      <c r="E51" s="9">
        <v>8</v>
      </c>
    </row>
    <row r="52" spans="1:5" x14ac:dyDescent="0.3">
      <c r="D52" s="2" t="s">
        <v>58</v>
      </c>
      <c r="E52" s="9">
        <v>11</v>
      </c>
    </row>
    <row r="53" spans="1:5" x14ac:dyDescent="0.3">
      <c r="D53" s="2" t="s">
        <v>64</v>
      </c>
      <c r="E53" s="9">
        <v>15</v>
      </c>
    </row>
    <row r="54" spans="1:5" x14ac:dyDescent="0.3">
      <c r="D54" s="2" t="s">
        <v>61</v>
      </c>
      <c r="E54" s="9">
        <v>16</v>
      </c>
    </row>
    <row r="55" spans="1:5" x14ac:dyDescent="0.3">
      <c r="A55" t="s">
        <v>69</v>
      </c>
      <c r="D55" s="2" t="s">
        <v>63</v>
      </c>
      <c r="E55" s="9">
        <v>51</v>
      </c>
    </row>
    <row r="56" spans="1:5" x14ac:dyDescent="0.3">
      <c r="A56" s="1" t="s">
        <v>0</v>
      </c>
      <c r="D56" s="2" t="s">
        <v>60</v>
      </c>
      <c r="E56" s="9">
        <v>102</v>
      </c>
    </row>
    <row r="57" spans="1:5" x14ac:dyDescent="0.3">
      <c r="A57" s="2" t="s">
        <v>68</v>
      </c>
      <c r="D57" s="2" t="s">
        <v>62</v>
      </c>
      <c r="E57" s="9">
        <v>313</v>
      </c>
    </row>
    <row r="58" spans="1:5" x14ac:dyDescent="0.3">
      <c r="A58" s="2" t="s">
        <v>1</v>
      </c>
      <c r="D58" s="2" t="s">
        <v>1</v>
      </c>
      <c r="E58" s="9">
        <v>519</v>
      </c>
    </row>
    <row r="62" spans="1:5" x14ac:dyDescent="0.3">
      <c r="A62" t="s">
        <v>77</v>
      </c>
    </row>
    <row r="63" spans="1:5" x14ac:dyDescent="0.3">
      <c r="A63" s="1" t="s">
        <v>0</v>
      </c>
      <c r="B63" t="s">
        <v>70</v>
      </c>
      <c r="C63" t="s">
        <v>73</v>
      </c>
    </row>
    <row r="64" spans="1:5" x14ac:dyDescent="0.3">
      <c r="A64" s="2" t="s">
        <v>71</v>
      </c>
      <c r="B64" s="9">
        <v>266</v>
      </c>
      <c r="C64" s="13">
        <v>0.51252408477842004</v>
      </c>
    </row>
    <row r="65" spans="1:9" x14ac:dyDescent="0.3">
      <c r="A65" s="2" t="s">
        <v>72</v>
      </c>
      <c r="B65" s="9">
        <v>253</v>
      </c>
      <c r="C65" s="13">
        <v>0.48747591522157996</v>
      </c>
    </row>
    <row r="66" spans="1:9" x14ac:dyDescent="0.3">
      <c r="A66" s="2" t="s">
        <v>1</v>
      </c>
      <c r="B66" s="9">
        <v>519</v>
      </c>
      <c r="C66" s="13">
        <v>1</v>
      </c>
    </row>
    <row r="69" spans="1:9" x14ac:dyDescent="0.3">
      <c r="A69" s="15" t="s">
        <v>74</v>
      </c>
      <c r="B69" s="15" t="s">
        <v>75</v>
      </c>
      <c r="C69" s="15" t="s">
        <v>76</v>
      </c>
      <c r="D69" s="14"/>
      <c r="F69" s="20"/>
      <c r="G69" s="20"/>
      <c r="H69" s="20"/>
      <c r="I69" s="21"/>
    </row>
    <row r="70" spans="1:9" x14ac:dyDescent="0.3">
      <c r="A70" s="16" t="str">
        <f>A65</f>
        <v>Not Admitted</v>
      </c>
      <c r="B70" s="17">
        <f>B65</f>
        <v>253</v>
      </c>
      <c r="C70" s="18">
        <f>C65</f>
        <v>0.48747591522157996</v>
      </c>
      <c r="D70" s="19"/>
      <c r="F70" s="20"/>
      <c r="G70" s="22"/>
      <c r="H70" s="23"/>
      <c r="I70" s="21"/>
    </row>
    <row r="71" spans="1:9" x14ac:dyDescent="0.3">
      <c r="A71" s="16" t="str">
        <f>A64</f>
        <v>Admitted</v>
      </c>
      <c r="B71" s="17">
        <f>B64</f>
        <v>266</v>
      </c>
      <c r="C71" s="18">
        <f>C64</f>
        <v>0.51252408477842004</v>
      </c>
      <c r="D71" s="19"/>
      <c r="F71" s="20"/>
      <c r="G71" s="22"/>
      <c r="H71" s="23"/>
      <c r="I71" s="21"/>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EDAA-D45E-46D6-A9E1-95C6F2210BB0}">
  <dimension ref="A1:M19"/>
  <sheetViews>
    <sheetView zoomScale="190" zoomScaleNormal="190" workbookViewId="0">
      <selection activeCell="L9" sqref="L9"/>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row r="19" spans="1:13" x14ac:dyDescent="0.3">
      <c r="A19" s="4"/>
      <c r="B19" s="4"/>
      <c r="C19" s="4"/>
      <c r="D19" s="4"/>
      <c r="E19" s="4"/>
      <c r="F19" s="4"/>
      <c r="G19" s="4"/>
      <c r="H19" s="4"/>
      <c r="I19" s="4"/>
      <c r="J19" s="4"/>
      <c r="K19" s="4"/>
      <c r="L19" s="4"/>
      <c r="M19"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FA32-8BD9-4DDF-B524-639C69210F06}">
  <dimension ref="A1:M21"/>
  <sheetViews>
    <sheetView zoomScale="185" zoomScaleNormal="185" workbookViewId="0"/>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397E-D978-477A-A932-9FC7D76027C4}">
  <dimension ref="A1:P25"/>
  <sheetViews>
    <sheetView zoomScale="150" zoomScaleNormal="150" workbookViewId="0"/>
  </sheetViews>
  <sheetFormatPr defaultRowHeight="14.4" x14ac:dyDescent="0.3"/>
  <sheetData>
    <row r="1" spans="1:16" x14ac:dyDescent="0.3">
      <c r="A1" s="12"/>
      <c r="B1" s="12"/>
      <c r="C1" s="12"/>
      <c r="D1" s="12"/>
      <c r="E1" s="12"/>
      <c r="F1" s="12"/>
      <c r="G1" s="12"/>
      <c r="H1" s="12"/>
      <c r="I1" s="12"/>
      <c r="J1" s="12"/>
      <c r="K1" s="12"/>
      <c r="L1" s="12"/>
      <c r="M1" s="12"/>
      <c r="N1" s="6"/>
      <c r="O1" s="6"/>
      <c r="P1" s="6"/>
    </row>
    <row r="2" spans="1:16" x14ac:dyDescent="0.3">
      <c r="A2" s="12"/>
      <c r="B2" s="12"/>
      <c r="C2" s="12"/>
      <c r="D2" s="12"/>
      <c r="E2" s="12"/>
      <c r="F2" s="12"/>
      <c r="G2" s="12"/>
      <c r="H2" s="12"/>
      <c r="I2" s="12"/>
      <c r="J2" s="12"/>
      <c r="K2" s="12"/>
      <c r="L2" s="12"/>
      <c r="M2" s="12"/>
      <c r="N2" s="6"/>
      <c r="O2" s="6"/>
      <c r="P2" s="6"/>
    </row>
    <row r="3" spans="1:16" x14ac:dyDescent="0.3">
      <c r="A3" s="12"/>
      <c r="B3" s="12"/>
      <c r="C3" s="12"/>
      <c r="D3" s="12"/>
      <c r="E3" s="12"/>
      <c r="F3" s="12"/>
      <c r="G3" s="12"/>
      <c r="H3" s="12"/>
      <c r="I3" s="12"/>
      <c r="J3" s="12"/>
      <c r="K3" s="12"/>
      <c r="L3" s="12"/>
      <c r="M3" s="12"/>
      <c r="N3" s="6"/>
      <c r="O3" s="6"/>
      <c r="P3" s="6"/>
    </row>
    <row r="4" spans="1:16" x14ac:dyDescent="0.3">
      <c r="A4" s="12"/>
      <c r="B4" s="12"/>
      <c r="C4" s="12"/>
      <c r="D4" s="12"/>
      <c r="E4" s="12"/>
      <c r="F4" s="12"/>
      <c r="G4" s="12"/>
      <c r="H4" s="12"/>
      <c r="I4" s="12"/>
      <c r="J4" s="12"/>
      <c r="K4" s="12"/>
      <c r="L4" s="12"/>
      <c r="M4" s="12"/>
      <c r="N4" s="6"/>
      <c r="O4" s="6"/>
      <c r="P4" s="6"/>
    </row>
    <row r="5" spans="1:16" x14ac:dyDescent="0.3">
      <c r="A5" s="12"/>
      <c r="B5" s="12"/>
      <c r="C5" s="12"/>
      <c r="D5" s="12"/>
      <c r="E5" s="12"/>
      <c r="F5" s="12"/>
      <c r="G5" s="12"/>
      <c r="H5" s="12"/>
      <c r="I5" s="12"/>
      <c r="J5" s="12"/>
      <c r="K5" s="12"/>
      <c r="L5" s="12"/>
      <c r="M5" s="12"/>
      <c r="N5" s="6"/>
      <c r="O5" s="6"/>
      <c r="P5" s="6"/>
    </row>
    <row r="6" spans="1:16" x14ac:dyDescent="0.3">
      <c r="A6" s="12"/>
      <c r="B6" s="12"/>
      <c r="C6" s="12"/>
      <c r="D6" s="12"/>
      <c r="E6" s="12"/>
      <c r="F6" s="12"/>
      <c r="G6" s="12"/>
      <c r="H6" s="12"/>
      <c r="I6" s="12"/>
      <c r="J6" s="12"/>
      <c r="K6" s="12"/>
      <c r="L6" s="12"/>
      <c r="M6" s="12"/>
      <c r="N6" s="6"/>
      <c r="O6" s="6"/>
      <c r="P6" s="6"/>
    </row>
    <row r="7" spans="1:16" x14ac:dyDescent="0.3">
      <c r="A7" s="12"/>
      <c r="B7" s="12"/>
      <c r="C7" s="12"/>
      <c r="D7" s="12"/>
      <c r="E7" s="12"/>
      <c r="F7" s="12"/>
      <c r="G7" s="12"/>
      <c r="H7" s="12"/>
      <c r="I7" s="12"/>
      <c r="J7" s="12"/>
      <c r="K7" s="12"/>
      <c r="L7" s="12"/>
      <c r="M7" s="12"/>
      <c r="N7" s="6"/>
      <c r="O7" s="6"/>
      <c r="P7" s="6"/>
    </row>
    <row r="8" spans="1:16" x14ac:dyDescent="0.3">
      <c r="A8" s="12"/>
      <c r="B8" s="12"/>
      <c r="C8" s="12"/>
      <c r="D8" s="12"/>
      <c r="E8" s="12"/>
      <c r="F8" s="12"/>
      <c r="G8" s="12"/>
      <c r="H8" s="12"/>
      <c r="I8" s="12"/>
      <c r="J8" s="12"/>
      <c r="K8" s="12"/>
      <c r="L8" s="12"/>
      <c r="M8" s="12"/>
      <c r="N8" s="6"/>
      <c r="O8" s="6"/>
      <c r="P8" s="6"/>
    </row>
    <row r="9" spans="1:16" x14ac:dyDescent="0.3">
      <c r="A9" s="12"/>
      <c r="B9" s="12"/>
      <c r="C9" s="12"/>
      <c r="D9" s="12"/>
      <c r="E9" s="12"/>
      <c r="F9" s="12"/>
      <c r="G9" s="12"/>
      <c r="H9" s="12"/>
      <c r="I9" s="12"/>
      <c r="J9" s="12"/>
      <c r="K9" s="12"/>
      <c r="L9" s="12"/>
      <c r="M9" s="12"/>
      <c r="N9" s="6"/>
      <c r="O9" s="6"/>
      <c r="P9" s="6"/>
    </row>
    <row r="10" spans="1:16" x14ac:dyDescent="0.3">
      <c r="A10" s="12"/>
      <c r="B10" s="12"/>
      <c r="C10" s="12"/>
      <c r="D10" s="12"/>
      <c r="E10" s="12"/>
      <c r="F10" s="12"/>
      <c r="G10" s="12"/>
      <c r="H10" s="12"/>
      <c r="I10" s="12"/>
      <c r="J10" s="12"/>
      <c r="K10" s="12"/>
      <c r="L10" s="12"/>
      <c r="M10" s="12"/>
      <c r="N10" s="6"/>
      <c r="O10" s="6"/>
      <c r="P10" s="6"/>
    </row>
    <row r="11" spans="1:16" x14ac:dyDescent="0.3">
      <c r="A11" s="12"/>
      <c r="B11" s="12"/>
      <c r="C11" s="12"/>
      <c r="D11" s="12"/>
      <c r="E11" s="12"/>
      <c r="F11" s="12"/>
      <c r="G11" s="12"/>
      <c r="H11" s="12"/>
      <c r="I11" s="12"/>
      <c r="J11" s="12"/>
      <c r="K11" s="12"/>
      <c r="L11" s="12"/>
      <c r="M11" s="12"/>
      <c r="N11" s="6"/>
      <c r="O11" s="6"/>
      <c r="P11" s="6"/>
    </row>
    <row r="12" spans="1:16" x14ac:dyDescent="0.3">
      <c r="A12" s="12"/>
      <c r="B12" s="12"/>
      <c r="C12" s="12"/>
      <c r="D12" s="12"/>
      <c r="E12" s="12"/>
      <c r="F12" s="12"/>
      <c r="G12" s="12"/>
      <c r="H12" s="12"/>
      <c r="I12" s="12"/>
      <c r="J12" s="12"/>
      <c r="K12" s="12"/>
      <c r="L12" s="12"/>
      <c r="M12" s="12"/>
      <c r="N12" s="6"/>
      <c r="O12" s="6"/>
      <c r="P12" s="6"/>
    </row>
    <row r="13" spans="1:16" x14ac:dyDescent="0.3">
      <c r="A13" s="12"/>
      <c r="B13" s="12"/>
      <c r="C13" s="12"/>
      <c r="D13" s="12"/>
      <c r="E13" s="12"/>
      <c r="F13" s="12"/>
      <c r="G13" s="12"/>
      <c r="H13" s="12"/>
      <c r="I13" s="12"/>
      <c r="J13" s="12"/>
      <c r="K13" s="12"/>
      <c r="L13" s="12"/>
      <c r="M13" s="12"/>
      <c r="N13" s="6"/>
      <c r="O13" s="6"/>
      <c r="P13" s="6"/>
    </row>
    <row r="14" spans="1:16" x14ac:dyDescent="0.3">
      <c r="A14" s="12"/>
      <c r="B14" s="12"/>
      <c r="C14" s="12"/>
      <c r="D14" s="12"/>
      <c r="E14" s="12"/>
      <c r="F14" s="12"/>
      <c r="G14" s="12"/>
      <c r="H14" s="12"/>
      <c r="I14" s="12"/>
      <c r="J14" s="12"/>
      <c r="K14" s="12"/>
      <c r="L14" s="12"/>
      <c r="M14" s="12"/>
      <c r="N14" s="6"/>
      <c r="O14" s="6"/>
      <c r="P14" s="6"/>
    </row>
    <row r="15" spans="1:16" x14ac:dyDescent="0.3">
      <c r="A15" s="12"/>
      <c r="B15" s="12"/>
      <c r="C15" s="12"/>
      <c r="D15" s="12"/>
      <c r="E15" s="12"/>
      <c r="F15" s="12"/>
      <c r="G15" s="12"/>
      <c r="H15" s="12"/>
      <c r="I15" s="12"/>
      <c r="J15" s="12"/>
      <c r="K15" s="12"/>
      <c r="L15" s="12"/>
      <c r="M15" s="12"/>
      <c r="N15" s="6"/>
      <c r="O15" s="6"/>
      <c r="P15" s="6"/>
    </row>
    <row r="16" spans="1:16" x14ac:dyDescent="0.3">
      <c r="A16" s="12"/>
      <c r="B16" s="12"/>
      <c r="C16" s="12"/>
      <c r="D16" s="12"/>
      <c r="E16" s="12"/>
      <c r="F16" s="12"/>
      <c r="G16" s="12"/>
      <c r="H16" s="12"/>
      <c r="I16" s="12"/>
      <c r="J16" s="12"/>
      <c r="K16" s="12"/>
      <c r="L16" s="12"/>
      <c r="M16" s="12"/>
      <c r="N16" s="6"/>
      <c r="O16" s="6"/>
      <c r="P16" s="6"/>
    </row>
    <row r="17" spans="1:16" x14ac:dyDescent="0.3">
      <c r="A17" s="12"/>
      <c r="B17" s="12"/>
      <c r="C17" s="12"/>
      <c r="D17" s="12"/>
      <c r="E17" s="12"/>
      <c r="F17" s="12"/>
      <c r="G17" s="12"/>
      <c r="H17" s="12"/>
      <c r="I17" s="12"/>
      <c r="J17" s="12"/>
      <c r="K17" s="12"/>
      <c r="L17" s="12"/>
      <c r="M17" s="12"/>
      <c r="N17" s="6"/>
      <c r="O17" s="6"/>
      <c r="P17" s="6"/>
    </row>
    <row r="18" spans="1:16" x14ac:dyDescent="0.3">
      <c r="A18" s="12"/>
      <c r="B18" s="12"/>
      <c r="C18" s="12"/>
      <c r="D18" s="12"/>
      <c r="E18" s="12"/>
      <c r="F18" s="12"/>
      <c r="G18" s="12"/>
      <c r="H18" s="12"/>
      <c r="I18" s="12"/>
      <c r="J18" s="12"/>
      <c r="K18" s="12"/>
      <c r="L18" s="12"/>
      <c r="M18" s="12"/>
      <c r="N18" s="6"/>
      <c r="O18" s="6"/>
      <c r="P18" s="6"/>
    </row>
    <row r="19" spans="1:16" x14ac:dyDescent="0.3">
      <c r="A19" s="12"/>
      <c r="B19" s="12"/>
      <c r="C19" s="12"/>
      <c r="D19" s="12"/>
      <c r="E19" s="12"/>
      <c r="F19" s="12"/>
      <c r="G19" s="12"/>
      <c r="H19" s="12"/>
      <c r="I19" s="12"/>
      <c r="J19" s="12"/>
      <c r="K19" s="12"/>
      <c r="L19" s="12"/>
      <c r="M19" s="12"/>
      <c r="N19" s="6"/>
      <c r="O19" s="6"/>
      <c r="P19" s="6"/>
    </row>
    <row r="20" spans="1:16" x14ac:dyDescent="0.3">
      <c r="A20" s="12"/>
      <c r="B20" s="12"/>
      <c r="C20" s="12"/>
      <c r="D20" s="12"/>
      <c r="E20" s="12"/>
      <c r="F20" s="12"/>
      <c r="G20" s="12"/>
      <c r="H20" s="12"/>
      <c r="I20" s="12"/>
      <c r="J20" s="12"/>
      <c r="K20" s="12"/>
      <c r="L20" s="12"/>
      <c r="M20" s="12"/>
      <c r="N20" s="6"/>
      <c r="O20" s="6"/>
      <c r="P20" s="6"/>
    </row>
    <row r="21" spans="1:16" x14ac:dyDescent="0.3">
      <c r="A21" s="12"/>
      <c r="B21" s="12"/>
      <c r="C21" s="12"/>
      <c r="D21" s="12"/>
      <c r="E21" s="12"/>
      <c r="F21" s="12"/>
      <c r="G21" s="12"/>
      <c r="H21" s="12"/>
      <c r="I21" s="12"/>
      <c r="J21" s="12"/>
      <c r="K21" s="12"/>
      <c r="L21" s="12"/>
      <c r="M21" s="12"/>
      <c r="N21" s="6"/>
      <c r="O21" s="6"/>
      <c r="P21" s="6"/>
    </row>
    <row r="22" spans="1:16" x14ac:dyDescent="0.3">
      <c r="A22" s="12"/>
      <c r="B22" s="12"/>
      <c r="C22" s="12"/>
      <c r="D22" s="12"/>
      <c r="E22" s="12"/>
      <c r="F22" s="12"/>
      <c r="G22" s="12"/>
      <c r="H22" s="12"/>
      <c r="I22" s="12"/>
      <c r="J22" s="12"/>
      <c r="K22" s="12"/>
      <c r="L22" s="12"/>
      <c r="M22" s="12"/>
      <c r="N22" s="6"/>
      <c r="O22" s="6"/>
      <c r="P22" s="6"/>
    </row>
    <row r="23" spans="1:16" x14ac:dyDescent="0.3">
      <c r="A23" s="12"/>
      <c r="B23" s="12"/>
      <c r="C23" s="12"/>
      <c r="D23" s="12"/>
      <c r="E23" s="12"/>
      <c r="F23" s="12"/>
      <c r="G23" s="12"/>
      <c r="H23" s="12"/>
      <c r="I23" s="12"/>
      <c r="J23" s="12"/>
      <c r="K23" s="12"/>
      <c r="L23" s="12"/>
      <c r="M23" s="12"/>
      <c r="N23" s="6"/>
      <c r="O23" s="6"/>
      <c r="P23" s="6"/>
    </row>
    <row r="24" spans="1:16" x14ac:dyDescent="0.3">
      <c r="A24" s="11"/>
      <c r="B24" s="11"/>
      <c r="C24" s="11"/>
      <c r="D24" s="11"/>
      <c r="E24" s="11"/>
      <c r="F24" s="11"/>
      <c r="G24" s="11"/>
      <c r="H24" s="11"/>
      <c r="I24" s="11"/>
      <c r="J24" s="11"/>
      <c r="K24" s="11"/>
      <c r="L24" s="11"/>
      <c r="M24" s="11"/>
    </row>
    <row r="25" spans="1:16" x14ac:dyDescent="0.3">
      <c r="A25" s="10"/>
      <c r="B25" s="10"/>
      <c r="C25" s="10"/>
      <c r="D25" s="10"/>
      <c r="E25" s="10"/>
      <c r="F25" s="10"/>
      <c r="G25" s="10"/>
      <c r="H25" s="10"/>
      <c r="I25" s="10"/>
      <c r="J25" s="10"/>
      <c r="K25" s="10"/>
      <c r="L25" s="10"/>
      <c r="M25"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8292-4244-426A-9252-FFF6A658F524}">
  <dimension ref="A1:O23"/>
  <sheetViews>
    <sheetView zoomScale="155" zoomScaleNormal="155" workbookViewId="0"/>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row>
    <row r="23" spans="1:15" x14ac:dyDescent="0.3">
      <c r="A23" s="6"/>
      <c r="B23" s="6"/>
      <c r="C23" s="6"/>
      <c r="D23" s="6"/>
      <c r="E23" s="6"/>
      <c r="F23" s="6"/>
      <c r="G23" s="6"/>
      <c r="H23" s="6"/>
      <c r="I23" s="6"/>
      <c r="J23" s="6"/>
      <c r="K23" s="6"/>
      <c r="L23" s="6"/>
      <c r="M23"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46DEE7E-D30B-4378-A330-2AE6D53005DB}">
  <ds:schemaRefs/>
</ds:datastoreItem>
</file>

<file path=customXml/itemProps2.xml><?xml version="1.0" encoding="utf-8"?>
<ds:datastoreItem xmlns:ds="http://schemas.openxmlformats.org/officeDocument/2006/customXml" ds:itemID="{8C7E0867-C438-4DD5-8021-BC5BF1763406}">
  <ds:schemaRefs/>
</ds:datastoreItem>
</file>

<file path=customXml/itemProps3.xml><?xml version="1.0" encoding="utf-8"?>
<ds:datastoreItem xmlns:ds="http://schemas.openxmlformats.org/officeDocument/2006/customXml" ds:itemID="{5A1F8851-1D14-4177-A48D-534AD258C3BD}">
  <ds:schemaRefs/>
</ds:datastoreItem>
</file>

<file path=customXml/itemProps4.xml><?xml version="1.0" encoding="utf-8"?>
<ds:datastoreItem xmlns:ds="http://schemas.openxmlformats.org/officeDocument/2006/customXml" ds:itemID="{FCF73BCC-00FF-4BFB-A696-00EBF7A89A00}">
  <ds:schemaRefs/>
</ds:datastoreItem>
</file>

<file path=customXml/itemProps5.xml><?xml version="1.0" encoding="utf-8"?>
<ds:datastoreItem xmlns:ds="http://schemas.openxmlformats.org/officeDocument/2006/customXml" ds:itemID="{0EEC42AF-2132-4193-9ED2-763A03CB5CAD}">
  <ds:schemaRefs/>
</ds:datastoreItem>
</file>

<file path=customXml/itemProps6.xml><?xml version="1.0" encoding="utf-8"?>
<ds:datastoreItem xmlns:ds="http://schemas.openxmlformats.org/officeDocument/2006/customXml" ds:itemID="{1A14A2AF-A6F7-45E8-ACE3-9DED471535A6}">
  <ds:schemaRefs/>
</ds:datastoreItem>
</file>

<file path=customXml/itemProps7.xml><?xml version="1.0" encoding="utf-8"?>
<ds:datastoreItem xmlns:ds="http://schemas.openxmlformats.org/officeDocument/2006/customXml" ds:itemID="{E9407AEA-1D7C-49C5-979A-B3113622220F}">
  <ds:schemaRefs/>
</ds:datastoreItem>
</file>

<file path=customXml/itemProps8.xml><?xml version="1.0" encoding="utf-8"?>
<ds:datastoreItem xmlns:ds="http://schemas.openxmlformats.org/officeDocument/2006/customXml" ds:itemID="{9877121C-EB56-4EF6-B3AC-9E4876A34D69}">
  <ds:schemaRefs/>
</ds:datastoreItem>
</file>

<file path=customXml/itemProps9.xml><?xml version="1.0" encoding="utf-8"?>
<ds:datastoreItem xmlns:ds="http://schemas.openxmlformats.org/officeDocument/2006/customXml" ds:itemID="{280E6CBC-36BE-48B7-9142-4F65A1288527}">
  <ds:schemaRefs/>
</ds:datastoreItem>
</file>

<file path=customXml/itemProps10.xml><?xml version="1.0" encoding="utf-8"?>
<ds:datastoreItem xmlns:ds="http://schemas.openxmlformats.org/officeDocument/2006/customXml" ds:itemID="{A5270D73-47B6-4C1A-8867-FC2C4B4AF6F5}">
  <ds:schemaRefs/>
</ds:datastoreItem>
</file>

<file path=customXml/itemProps11.xml><?xml version="1.0" encoding="utf-8"?>
<ds:datastoreItem xmlns:ds="http://schemas.openxmlformats.org/officeDocument/2006/customXml" ds:itemID="{15A9DEBA-3C30-4163-8719-1F71337ED1DB}">
  <ds:schemaRefs/>
</ds:datastoreItem>
</file>

<file path=customXml/itemProps12.xml><?xml version="1.0" encoding="utf-8"?>
<ds:datastoreItem xmlns:ds="http://schemas.openxmlformats.org/officeDocument/2006/customXml" ds:itemID="{D54C7BF8-6568-44B8-A8BD-73E50011B052}">
  <ds:schemaRefs/>
</ds:datastoreItem>
</file>

<file path=customXml/itemProps13.xml><?xml version="1.0" encoding="utf-8"?>
<ds:datastoreItem xmlns:ds="http://schemas.openxmlformats.org/officeDocument/2006/customXml" ds:itemID="{875CA722-142D-4DEF-B3F7-33CD8E1B7438}">
  <ds:schemaRefs/>
</ds:datastoreItem>
</file>

<file path=customXml/itemProps14.xml><?xml version="1.0" encoding="utf-8"?>
<ds:datastoreItem xmlns:ds="http://schemas.openxmlformats.org/officeDocument/2006/customXml" ds:itemID="{48C57CDD-01CB-44E2-9F25-71B417AB8E90}">
  <ds:schemaRefs/>
</ds:datastoreItem>
</file>

<file path=customXml/itemProps15.xml><?xml version="1.0" encoding="utf-8"?>
<ds:datastoreItem xmlns:ds="http://schemas.openxmlformats.org/officeDocument/2006/customXml" ds:itemID="{B6642242-4DE4-4C0A-8F37-2BFDA72A2B74}">
  <ds:schemaRefs/>
</ds:datastoreItem>
</file>

<file path=customXml/itemProps16.xml><?xml version="1.0" encoding="utf-8"?>
<ds:datastoreItem xmlns:ds="http://schemas.openxmlformats.org/officeDocument/2006/customXml" ds:itemID="{BEE076AC-AC19-4960-8EF2-11EE616379E8}">
  <ds:schemaRefs/>
</ds:datastoreItem>
</file>

<file path=customXml/itemProps17.xml><?xml version="1.0" encoding="utf-8"?>
<ds:datastoreItem xmlns:ds="http://schemas.openxmlformats.org/officeDocument/2006/customXml" ds:itemID="{8C6E8088-51F4-4F07-8556-BBF99A5DE47D}">
  <ds:schemaRefs/>
</ds:datastoreItem>
</file>

<file path=customXml/itemProps18.xml><?xml version="1.0" encoding="utf-8"?>
<ds:datastoreItem xmlns:ds="http://schemas.openxmlformats.org/officeDocument/2006/customXml" ds:itemID="{E85E096F-993D-4B57-AB74-428D5C465F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Bansal</dc:creator>
  <cp:lastModifiedBy>Paras Bansal</cp:lastModifiedBy>
  <dcterms:created xsi:type="dcterms:W3CDTF">2026-08-08T12:21:39Z</dcterms:created>
  <dcterms:modified xsi:type="dcterms:W3CDTF">2026-08-08T20:41:43Z</dcterms:modified>
</cp:coreProperties>
</file>